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"/>
    </mc:Choice>
  </mc:AlternateContent>
  <xr:revisionPtr revIDLastSave="0" documentId="13_ncr:1_{2B211120-02AA-441F-9475-64353052D4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Sheet1!$A$2:$F$345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I2" i="2"/>
  <c r="G2" i="2"/>
  <c r="H2" i="2"/>
</calcChain>
</file>

<file path=xl/sharedStrings.xml><?xml version="1.0" encoding="utf-8"?>
<sst xmlns="http://schemas.openxmlformats.org/spreadsheetml/2006/main" count="1826" uniqueCount="1141">
  <si>
    <t>Enrichment Analysis - Final Report</t>
  </si>
  <si>
    <t>Term</t>
  </si>
  <si>
    <t>Description</t>
  </si>
  <si>
    <t>GeneRatio</t>
  </si>
  <si>
    <t>BgRatio</t>
  </si>
  <si>
    <t>pvalue</t>
  </si>
  <si>
    <t>p.adjust</t>
  </si>
  <si>
    <t>GeneId</t>
  </si>
  <si>
    <t>ko00010</t>
  </si>
  <si>
    <t>Glycolysis / Gluconeogenesis</t>
  </si>
  <si>
    <t>20/4495</t>
  </si>
  <si>
    <t>41/9975</t>
  </si>
  <si>
    <t>PV10_08635/PV10_07205/PV10_04895/PV10_05084/PV10_02104/PV10_02172/PV10_02245/PV10_02961/PV10_03311/PV10_00056/PV10_00101/PV10_00418/PV10_00420/PV10_00553/PV10_00801/PV10_01023/PV10_01629/PV10_01792/PV10_01838</t>
  </si>
  <si>
    <t>ko00020</t>
  </si>
  <si>
    <t>Citrate cycle (TCA cycle)</t>
  </si>
  <si>
    <t>18/4495</t>
  </si>
  <si>
    <t>30/9975</t>
  </si>
  <si>
    <t>PV10_08037/PV10_07701/PV10_05356/PV10_05654/PV10_06810/PV10_04306/PV10_04308/PV10_02092/PV10_02175/PV10_03045/PV10_03152/PV10_03311/PV10_00384/PV10_00481/PV10_01491/PV10_01603</t>
  </si>
  <si>
    <t>ko00030</t>
  </si>
  <si>
    <t>Pentose phosphate pathway</t>
  </si>
  <si>
    <t>9/4495</t>
  </si>
  <si>
    <t>25/9975</t>
  </si>
  <si>
    <t>PV10_08088/PV10_05842/PV10_04317/PV10_02851/PV10_02868/PV10_02961/PV10_03244/PV10_00223/PV10_01792</t>
  </si>
  <si>
    <t>ko00040</t>
  </si>
  <si>
    <t>Pentose and glucuronate interconversions</t>
  </si>
  <si>
    <t>11/4495</t>
  </si>
  <si>
    <t>22/9975</t>
  </si>
  <si>
    <t>PV10_09180/PV10_08381/PV10_08507/PV10_08777/PV10_05597/PV10_02988/PV10_03331/PV10_03352/PV10_03515/PV10_00185</t>
  </si>
  <si>
    <t>ko00051</t>
  </si>
  <si>
    <t>Fructose and mannose metabolism</t>
  </si>
  <si>
    <t>10/4495</t>
  </si>
  <si>
    <t>23/9975</t>
  </si>
  <si>
    <t>PV10_08635/PV10_07205/PV10_05495/PV10_05980/PV10_06073/PV10_05084/PV10_02961/PV10_03352/PV10_00925/PV10_01792</t>
  </si>
  <si>
    <t>ko00052</t>
  </si>
  <si>
    <t>Galactose metabolism</t>
  </si>
  <si>
    <t>7/4495</t>
  </si>
  <si>
    <t>14/9975</t>
  </si>
  <si>
    <t>PV10_07205/PV10_04489/PV10_01999/PV10_03515/PV10_00101/PV10_00515/PV10_01418</t>
  </si>
  <si>
    <t>ko00053</t>
  </si>
  <si>
    <t>Ascorbate and aldarate metabolism</t>
  </si>
  <si>
    <t>3/4495</t>
  </si>
  <si>
    <t>8/9975</t>
  </si>
  <si>
    <t>PV10_08507/PV10_05832/PV10_05251</t>
  </si>
  <si>
    <t>ko00061</t>
  </si>
  <si>
    <t>Fatty acid biosynthesis</t>
  </si>
  <si>
    <t>13/9975</t>
  </si>
  <si>
    <t>PV10_07077/PV10_07450/PV10_07451/PV10_07615/PV10_07882/PV10_04062/PV10_02854/PV10_01001/PV10_01498</t>
  </si>
  <si>
    <t>ko00062</t>
  </si>
  <si>
    <t>Fatty acid elongation</t>
  </si>
  <si>
    <t>5/9975</t>
  </si>
  <si>
    <t>PV10_09228/PV10_03924/PV10_01458</t>
  </si>
  <si>
    <t>ko00071</t>
  </si>
  <si>
    <t>Fatty acid degradation</t>
  </si>
  <si>
    <t>38/9975</t>
  </si>
  <si>
    <t>PV10_09228/PV10_08095/PV10_08791/PV10_06177/PV10_04062/PV10_02172/PV10_02245/PV10_02913/PV10_03404/PV10_00181/PV10_00553/PV10_00645/PV10_00801/PV10_00934/PV10_01001/PV10_01629</t>
  </si>
  <si>
    <t>ko00073</t>
  </si>
  <si>
    <t>Cutin, suberine and wax biosynthesis</t>
  </si>
  <si>
    <t>1/4495</t>
  </si>
  <si>
    <t>1/9975</t>
  </si>
  <si>
    <t>PV10_05060</t>
  </si>
  <si>
    <t>ko00100</t>
  </si>
  <si>
    <t>Steroid biosynthesis</t>
  </si>
  <si>
    <t>18/9975</t>
  </si>
  <si>
    <t>PV10_07257/PV10_07420/PV10_05418/PV10_05650/PV10_02072/PV10_02323/PV10_00064</t>
  </si>
  <si>
    <t>ko00120</t>
  </si>
  <si>
    <t>Primary bile acid biosynthesis</t>
  </si>
  <si>
    <t>PV10_06603</t>
  </si>
  <si>
    <t>ko00130</t>
  </si>
  <si>
    <t>Ubiquinone and other terpenoid-quinone biosynthesis</t>
  </si>
  <si>
    <t>PV10_07254/PV10_05365/PV10_06569/PV10_06677/PV10_04254/PV10_03027/PV10_03309/PV10_00273</t>
  </si>
  <si>
    <t>ko00190</t>
  </si>
  <si>
    <t>Oxidative phosphorylation</t>
  </si>
  <si>
    <t>41/4495</t>
  </si>
  <si>
    <t>89/9975</t>
  </si>
  <si>
    <t>PV10_09119/PV10_08178/PV10_08526/PV10_08949/PV10_07128/PV10_07408/PV10_07573/PV10_07641/PV10_07873/PV10_05379/PV10_05556/PV10_06810/PV10_03702/PV10_03923/PV10_03963/PV10_04628/PV10_04743/PV10_05068/PV10_05127/PV10_03037/PV10_03045/PV10_03152/PV10_00253/PV10_00300/PV10_00336/PV10_00481/PV10_01077/PV10_01169/PV10_01379/PV10_01428/PV10_01521/PV10_01571/PV10_01589/PV10_01769/PV10_01843</t>
  </si>
  <si>
    <t>ko00195</t>
  </si>
  <si>
    <t>Photosynthesis</t>
  </si>
  <si>
    <t>3/9975</t>
  </si>
  <si>
    <t>PV10_07128</t>
  </si>
  <si>
    <t>ko00220</t>
  </si>
  <si>
    <t>Arginine biosynthesis</t>
  </si>
  <si>
    <t>PV10_08144/PV10_08433/PV10_06933/PV10_06669/PV10_04409/PV10_03306/PV10_00568</t>
  </si>
  <si>
    <t>ko00230</t>
  </si>
  <si>
    <t>Purine metabolism</t>
  </si>
  <si>
    <t>27/4495</t>
  </si>
  <si>
    <t>63/9975</t>
  </si>
  <si>
    <t>PV10_08278/PV10_08712/PV10_08722/PV10_07324/PV10_07652/PV10_07927/PV10_05495/PV10_05591/PV10_05628/PV10_05966/PV10_03807/PV10_03925/PV10_04675/PV10_05174/PV10_02094/PV10_02868/PV10_02951/PV10_00069/PV10_00081/PV10_00284/PV10_00868/PV10_01780/PV10_01825</t>
  </si>
  <si>
    <t>ko00232</t>
  </si>
  <si>
    <t>Caffeine metabolism</t>
  </si>
  <si>
    <t>PV10_07324</t>
  </si>
  <si>
    <t>ko00240</t>
  </si>
  <si>
    <t>Pyrimidine metabolism</t>
  </si>
  <si>
    <t>14/4495</t>
  </si>
  <si>
    <t>39/9975</t>
  </si>
  <si>
    <t>PV10_09035/PV10_08278/PV10_07927/PV10_03807/PV10_04590/PV10_04887/PV10_05174/PV10_02094/PV10_02799/PV10_03079</t>
  </si>
  <si>
    <t>ko00250</t>
  </si>
  <si>
    <t>Alanine, aspartate and glutamate metabolism</t>
  </si>
  <si>
    <t>19/4495</t>
  </si>
  <si>
    <t>PV10_08039/PV10_08144/PV10_08699/PV10_08935/PV10_06933/PV10_07652/PV10_05730/PV10_05772/PV10_05966/PV10_06470/PV10_06669/PV10_06788/PV10_04409/PV10_04887/PV10_03306/PV10_03649/PV10_00583</t>
  </si>
  <si>
    <t>ko00254</t>
  </si>
  <si>
    <t>Aflatoxin biosynthesis</t>
  </si>
  <si>
    <t>6/9975</t>
  </si>
  <si>
    <t>PV10_07615/PV10_05320/PV10_02195</t>
  </si>
  <si>
    <t>ko00260</t>
  </si>
  <si>
    <t>Glycine, serine and threonine metabolism</t>
  </si>
  <si>
    <t>25/4495</t>
  </si>
  <si>
    <t>45/9975</t>
  </si>
  <si>
    <t>PV10_08699/PV10_08772/PV10_08922/PV10_06927/PV10_07076/PV10_07404/PV10_07708/PV10_07748/PV10_05314/PV10_05372/PV10_05532/PV10_05551/PV10_05590/PV10_05627/PV10_05865/PV10_06118/PV10_06128/PV10_06165/PV10_03984/PV10_04787/PV10_02046/PV10_00056/PV10_01930</t>
  </si>
  <si>
    <t>ko00261</t>
  </si>
  <si>
    <t>Monobactam biosynthesis</t>
  </si>
  <si>
    <t>2/4495</t>
  </si>
  <si>
    <t>PV10_08772/PV10_05532</t>
  </si>
  <si>
    <t>ko00270</t>
  </si>
  <si>
    <t>Cysteine and methionine metabolism</t>
  </si>
  <si>
    <t>49/9975</t>
  </si>
  <si>
    <t>PV10_09040/PV10_08691/PV10_08772/PV10_08922/PV10_07254/PV10_05304/PV10_05314/PV10_05532/PV10_05654/PV10_04012/PV10_04254/PV10_04407/PV10_02075/PV10_00040</t>
  </si>
  <si>
    <t>ko00280</t>
  </si>
  <si>
    <t>Valine, leucine and isoleucine degradation</t>
  </si>
  <si>
    <t>22/4495</t>
  </si>
  <si>
    <t>55/9975</t>
  </si>
  <si>
    <t>PV10_09228/PV10_07976/PV10_08005/PV10_08691/PV10_08730/PV10_08791/PV10_07721/PV10_07778/PV10_05292/PV10_05730/PV10_05772/PV10_06678/PV10_06767/PV10_03777/PV10_04163/PV10_04948/PV10_02498/PV10_02913/PV10_03404/PV10_00934</t>
  </si>
  <si>
    <t>ko00290</t>
  </si>
  <si>
    <t>Valine, leucine and isoleucine biosynthesis</t>
  </si>
  <si>
    <t>8/4495</t>
  </si>
  <si>
    <t>20/9975</t>
  </si>
  <si>
    <t>PV10_08691/PV10_08851/PV10_06911/PV10_02796/PV10_00430/PV10_00527</t>
  </si>
  <si>
    <t>ko00300</t>
  </si>
  <si>
    <t>Lysine biosynthesis</t>
  </si>
  <si>
    <t>12/9975</t>
  </si>
  <si>
    <t>PV10_08459/PV10_08772/PV10_07254/PV10_05532/PV10_04254/PV10_00479/PV10_00957</t>
  </si>
  <si>
    <t>ko00310</t>
  </si>
  <si>
    <t>Lysine degradation</t>
  </si>
  <si>
    <t>29/9975</t>
  </si>
  <si>
    <t>PV10_09228/PV10_08935/PV10_07810/PV10_06722/PV10_02913/PV10_03327/PV10_00479/PV10_00934</t>
  </si>
  <si>
    <t>ko00311</t>
  </si>
  <si>
    <t>Penicillin and cephalosporin biosynthesis</t>
  </si>
  <si>
    <t>7/9975</t>
  </si>
  <si>
    <t>PV10_06165/PV10_03984/PV10_02046</t>
  </si>
  <si>
    <t>ko00330</t>
  </si>
  <si>
    <t>Arginine and proline metabolism</t>
  </si>
  <si>
    <t>15/4495</t>
  </si>
  <si>
    <t>59/9975</t>
  </si>
  <si>
    <t>PV10_08039/PV10_07404/PV10_07456/PV10_07708/PV10_05590/PV10_06165/PV10_03984/PV10_02046/PV10_02125/PV10_02743/PV10_02910/PV10_02934/PV10_02977/PV10_03254/PV10_00568</t>
  </si>
  <si>
    <t>ko00333</t>
  </si>
  <si>
    <t>Prodigiosin biosynthesis</t>
  </si>
  <si>
    <t>4/4495</t>
  </si>
  <si>
    <t>PV10_07077/PV10_07882/PV10_02854/PV10_01498</t>
  </si>
  <si>
    <t>ko00340</t>
  </si>
  <si>
    <t>Histidine metabolism</t>
  </si>
  <si>
    <t>19/9975</t>
  </si>
  <si>
    <t>PV10_07377/PV10_07404/PV10_07708/PV10_07894/PV10_05590/PV10_04659/PV10_03016/PV10_03461</t>
  </si>
  <si>
    <t>ko00350</t>
  </si>
  <si>
    <t>Tyrosine metabolism</t>
  </si>
  <si>
    <t>PV10_08191/PV10_08193/PV10_08362/PV10_08935/PV10_07206/PV10_07254/PV10_07404/PV10_07694/PV10_07708/PV10_05372/PV10_05590/PV10_05865/PV10_06128/PV10_03909/PV10_04254/PV10_02172/PV10_02245/PV10_00553/PV10_00801/PV10_01629</t>
  </si>
  <si>
    <t>ko00360</t>
  </si>
  <si>
    <t>Phenylalanine metabolism</t>
  </si>
  <si>
    <t>40/9975</t>
  </si>
  <si>
    <t>PV10_09228/PV10_07254/PV10_07404/PV10_07694/PV10_07708/PV10_05372/PV10_05590/PV10_05865/PV10_06128/PV10_03718/PV10_04254/PV10_02743/PV10_02910/PV10_02934</t>
  </si>
  <si>
    <t>ko00361</t>
  </si>
  <si>
    <t>Chlorocyclohexane and chlorobenzene degradation</t>
  </si>
  <si>
    <t>21/9975</t>
  </si>
  <si>
    <t>PV10_06049/PV10_06273/PV10_06409/PV10_03727/PV10_04212/PV10_04339/PV10_04349/PV10_02106/PV10_02850/PV10_03503</t>
  </si>
  <si>
    <t>ko00362</t>
  </si>
  <si>
    <t>Benzoate degradation</t>
  </si>
  <si>
    <t>PV10_09228/PV10_05749/PV10_06409/PV10_02106/PV10_02850/PV10_02913/PV10_03503/PV10_00934</t>
  </si>
  <si>
    <t>ko00364</t>
  </si>
  <si>
    <t>Fluorobenzoate degradation</t>
  </si>
  <si>
    <t>6/4495</t>
  </si>
  <si>
    <t>11/9975</t>
  </si>
  <si>
    <t>PV10_06409/PV10_04212/PV10_04339/PV10_04349/PV10_02106/PV10_02850</t>
  </si>
  <si>
    <t>ko00380</t>
  </si>
  <si>
    <t>Tryptophan metabolism</t>
  </si>
  <si>
    <t>62/9975</t>
  </si>
  <si>
    <t>PV10_09228/PV10_08473/PV10_07010/PV10_07254/PV10_07404/PV10_07694/PV10_07708/PV10_05590/PV10_03718/PV10_04254/PV10_04271/PV10_04729/PV10_05169/PV10_02009/PV10_02743/PV10_02910/PV10_02913/PV10_02934/PV10_03584/PV10_00181/PV10_00522/PV10_00934/PV10_00949/PV10_01385</t>
  </si>
  <si>
    <t>ko00400</t>
  </si>
  <si>
    <t>Phenylalanine, tyrosine and tryptophan biosynthesis</t>
  </si>
  <si>
    <t>PV10_06870/PV10_07254/PV10_04254/PV10_00735/PV10_01895/PV10_01930</t>
  </si>
  <si>
    <t>ko00401</t>
  </si>
  <si>
    <t>Novobiocin biosynthesis</t>
  </si>
  <si>
    <t>PV10_07254/PV10_04254</t>
  </si>
  <si>
    <t>ko00404</t>
  </si>
  <si>
    <t>Staurosporine biosynthesis</t>
  </si>
  <si>
    <t>PV10_02818</t>
  </si>
  <si>
    <t>ko00405</t>
  </si>
  <si>
    <t>Phenazine biosynthesis</t>
  </si>
  <si>
    <t>4/9975</t>
  </si>
  <si>
    <t>PV10_06220/PV10_01895</t>
  </si>
  <si>
    <t>ko00410</t>
  </si>
  <si>
    <t>beta-Alanine metabolism</t>
  </si>
  <si>
    <t>13/4495</t>
  </si>
  <si>
    <t>PV10_09228/PV10_08095/PV10_07077/PV10_05372/PV10_05730/PV10_05772/PV10_05865/PV10_06128/PV10_06470/PV10_03777/PV10_00583/PV10_00645</t>
  </si>
  <si>
    <t>ko00430</t>
  </si>
  <si>
    <t>Taurine and hypotaurine metabolism</t>
  </si>
  <si>
    <t>9/9975</t>
  </si>
  <si>
    <t>PV10_09040/PV10_07440/PV10_06470/PV10_04318/PV10_04409/PV10_02763/PV10_00540/PV10_00583</t>
  </si>
  <si>
    <t>ko00440</t>
  </si>
  <si>
    <t>Phosphonate and phosphinate metabolism</t>
  </si>
  <si>
    <t>PV10_08082</t>
  </si>
  <si>
    <t>ko00450</t>
  </si>
  <si>
    <t>Selenocompound metabolism</t>
  </si>
  <si>
    <t>PV10_08744/PV10_05304/PV10_04012/PV10_03348</t>
  </si>
  <si>
    <t>ko00460</t>
  </si>
  <si>
    <t>Cyanoamino acid metabolism</t>
  </si>
  <si>
    <t>17/9975</t>
  </si>
  <si>
    <t>PV10_05319/PV10_05551/PV10_06788/PV10_04548/PV10_02763/PV10_03445/PV10_00540/PV10_00728/PV10_01385</t>
  </si>
  <si>
    <t>ko00470</t>
  </si>
  <si>
    <t>D-Amino acid metabolism</t>
  </si>
  <si>
    <t>5/4495</t>
  </si>
  <si>
    <t>PV10_07748/PV10_06165/PV10_03984/PV10_02046/PV10_02787</t>
  </si>
  <si>
    <t>ko00480</t>
  </si>
  <si>
    <t>Glutathione metabolism</t>
  </si>
  <si>
    <t>42/9975</t>
  </si>
  <si>
    <t>PV10_08157/PV10_08278/PV10_08550/PV10_08700/PV10_06908/PV10_03699/PV10_05174/PV10_02048/PV10_02123/PV10_02125/PV10_02356/PV10_02763/PV10_02959/PV10_00384/PV10_00540/PV10_00651/PV10_01127/PV10_01464</t>
  </si>
  <si>
    <t>ko00500</t>
  </si>
  <si>
    <t>Starch and sucrose metabolism</t>
  </si>
  <si>
    <t>16/4495</t>
  </si>
  <si>
    <t>PV10_07205/PV10_07391/PV10_05319/PV10_05444/PV10_05495/PV10_03679/PV10_04548/PV10_02353/PV10_02996/PV10_03445/PV10_03515/PV10_00118/PV10_00316/PV10_00598/PV10_00705/PV10_00768</t>
  </si>
  <si>
    <t>ko00510</t>
  </si>
  <si>
    <t>N-Glycan biosynthesis</t>
  </si>
  <si>
    <t>33/9975</t>
  </si>
  <si>
    <t>PV10_08286/PV10_07756/PV10_03950/PV10_04570/PV10_02624</t>
  </si>
  <si>
    <t>ko00511</t>
  </si>
  <si>
    <t>Other glycan degradation</t>
  </si>
  <si>
    <t>PV10_07214/PV10_03260</t>
  </si>
  <si>
    <t>ko00513</t>
  </si>
  <si>
    <t>Various types of N-glycan biosynthesis</t>
  </si>
  <si>
    <t>31/9975</t>
  </si>
  <si>
    <t>PV10_08286/PV10_05381/PV10_06185/PV10_06501/PV10_04570/PV10_04823/PV10_02624/PV10_03260</t>
  </si>
  <si>
    <t>ko00514</t>
  </si>
  <si>
    <t>Other types of O-glycan biosynthesis</t>
  </si>
  <si>
    <t>PV10_07751</t>
  </si>
  <si>
    <t>ko00520</t>
  </si>
  <si>
    <t>Amino sugar and nucleotide sugar metabolism</t>
  </si>
  <si>
    <t>17/4495</t>
  </si>
  <si>
    <t>PV10_08507/PV10_08827/PV10_07205/PV10_07226/PV10_07672/PV10_04489/PV10_02597/PV10_03128/PV10_03260/PV10_03515/PV10_00525/PV10_00680/PV10_00925/PV10_01465/PV10_01466/PV10_01717/PV10_01832</t>
  </si>
  <si>
    <t>ko00521</t>
  </si>
  <si>
    <t>Streptomycin biosynthesis</t>
  </si>
  <si>
    <t>PV10_07205/PV10_07259</t>
  </si>
  <si>
    <t>ko00524</t>
  </si>
  <si>
    <t>Neomycin, kanamycin and gentamicin biosynthesis</t>
  </si>
  <si>
    <t>PV10_07205</t>
  </si>
  <si>
    <t>ko00531</t>
  </si>
  <si>
    <t>Glycosaminoglycan degradation</t>
  </si>
  <si>
    <t>PV10_03260</t>
  </si>
  <si>
    <t>ko00541</t>
  </si>
  <si>
    <t>O-Antigen nucleotide sugar biosynthesis</t>
  </si>
  <si>
    <t>PV10_08507/PV10_04489/PV10_03515</t>
  </si>
  <si>
    <t>ko00561</t>
  </si>
  <si>
    <t>Glycerolipid metabolism</t>
  </si>
  <si>
    <t>PV10_08811/PV10_07061/PV10_07076/PV10_07417/PV10_01999/PV10_02072/PV10_02165/PV10_03394/PV10_03631/PV10_00572/PV10_01026/PV10_01559/PV10_01766</t>
  </si>
  <si>
    <t>ko00562</t>
  </si>
  <si>
    <t>Inositol phosphate metabolism</t>
  </si>
  <si>
    <t>PV10_09046/PV10_08635/PV10_07259/PV10_05832/PV10_05896/PV10_03770/PV10_04869/PV10_05084/PV10_02004/PV10_02289/PV10_02292/PV10_02339/PV10_01690</t>
  </si>
  <si>
    <t>ko00563</t>
  </si>
  <si>
    <t>Glycosylphosphatidylinositol (GPI)-anchor biosynthesis</t>
  </si>
  <si>
    <t>PV10_07166/PV10_07756/PV10_06161/PV10_04008/PV10_05131/PV10_02493/PV10_02968/PV10_00235/PV10_01840</t>
  </si>
  <si>
    <t>ko00564</t>
  </si>
  <si>
    <t>Glycerophospholipid metabolism</t>
  </si>
  <si>
    <t>PV10_08811/PV10_08850/PV10_06986/PV10_04234/PV10_04792/PV10_02072/PV10_02165/PV10_02772/PV10_02844/PV10_03394/PV10_03631/PV10_00346/PV10_00963/PV10_01026/PV10_01559</t>
  </si>
  <si>
    <t>ko00565</t>
  </si>
  <si>
    <t>Ether lipid metabolism</t>
  </si>
  <si>
    <t>PV10_08811/PV10_03691/PV10_02072/PV10_00346/PV10_00845</t>
  </si>
  <si>
    <t>ko00590</t>
  </si>
  <si>
    <t>Arachidonic acid metabolism</t>
  </si>
  <si>
    <t>PV10_02072/PV10_03111</t>
  </si>
  <si>
    <t>ko00591</t>
  </si>
  <si>
    <t>Linoleic acid metabolism</t>
  </si>
  <si>
    <t>PV10_06188/PV10_02072</t>
  </si>
  <si>
    <t>ko00592</t>
  </si>
  <si>
    <t>alpha-Linolenic acid metabolism</t>
  </si>
  <si>
    <t>PV10_08095/PV10_02072/PV10_00645/PV10_00934</t>
  </si>
  <si>
    <t>ko00600</t>
  </si>
  <si>
    <t>Sphingolipid metabolism</t>
  </si>
  <si>
    <t>PV10_08629/PV10_05677/PV10_06775/PV10_01999/PV10_03260/PV10_00643/PV10_00704/PV10_01141</t>
  </si>
  <si>
    <t>ko00603</t>
  </si>
  <si>
    <t>Glycosphingolipid biosynthesis - globo and isoglobo series</t>
  </si>
  <si>
    <t>PV10_01999/PV10_03260</t>
  </si>
  <si>
    <t>ko00604</t>
  </si>
  <si>
    <t>Glycosphingolipid biosynthesis - ganglio series</t>
  </si>
  <si>
    <t>PV10_08905/PV10_03260</t>
  </si>
  <si>
    <t>ko00620</t>
  </si>
  <si>
    <t>Pyruvate metabolism</t>
  </si>
  <si>
    <t>23/4495</t>
  </si>
  <si>
    <t>57/9975</t>
  </si>
  <si>
    <t>PV10_08741/PV10_08851/PV10_08882/PV10_07615/PV10_05356/PV10_05654/PV10_03864/PV10_04308/PV10_04318/PV10_02092/PV10_02172/PV10_02245/PV10_02913/PV10_03131/PV10_03299/PV10_03311/PV10_03353/PV10_00553/PV10_00801/PV10_00934/PV10_00957/PV10_01629/PV10_01838</t>
  </si>
  <si>
    <t>ko00623</t>
  </si>
  <si>
    <t>Toluene degradation</t>
  </si>
  <si>
    <t>PV10_06409/PV10_04212/PV10_04339/PV10_04349/PV10_02106/PV10_02107/PV10_02850</t>
  </si>
  <si>
    <t>ko00625</t>
  </si>
  <si>
    <t>Chloroalkane and chloroalkene degradation</t>
  </si>
  <si>
    <t>PV10_06273/PV10_05120/PV10_02172/PV10_02245/PV10_00553/PV10_00801/PV10_01629</t>
  </si>
  <si>
    <t>ko00626</t>
  </si>
  <si>
    <t>Naphthalene degradation</t>
  </si>
  <si>
    <t>PV10_02172/PV10_02245/PV10_00553/PV10_00801/PV10_01629</t>
  </si>
  <si>
    <t>ko00627</t>
  </si>
  <si>
    <t>Aminobenzoate degradation</t>
  </si>
  <si>
    <t>36/9975</t>
  </si>
  <si>
    <t>PV10_09228/PV10_05426/PV10_02107/PV10_02743/PV10_02910/PV10_02934/PV10_03299/PV10_00181/PV10_01385</t>
  </si>
  <si>
    <t>ko00630</t>
  </si>
  <si>
    <t>Glyoxylate and dicarboxylate metabolism</t>
  </si>
  <si>
    <t>21/4495</t>
  </si>
  <si>
    <t>46/9975</t>
  </si>
  <si>
    <t>PV10_08214/PV10_08473/PV10_08699/PV10_06927/PV10_07076/PV10_05551/PV10_05654/PV10_06669/PV10_04210/PV10_04271/PV10_04306/PV10_04571/PV10_04729/PV10_02174/PV10_02175/PV10_02913/PV10_03254/PV10_00522/PV10_00728/PV10_00934/PV10_01838</t>
  </si>
  <si>
    <t>ko00640</t>
  </si>
  <si>
    <t>Propanoate metabolism</t>
  </si>
  <si>
    <t>28/9975</t>
  </si>
  <si>
    <t>PV10_09228/PV10_08005/PV10_08037/PV10_08095/PV10_07077/PV10_07615/PV10_07701/PV10_07778/PV10_05292/PV10_05318/PV10_05554/PV10_05730/PV10_05772/PV10_06678/PV10_03777/PV10_04318/PV10_03131/PV10_00645/PV10_01838</t>
  </si>
  <si>
    <t>ko00643</t>
  </si>
  <si>
    <t>Styrene degradation</t>
  </si>
  <si>
    <t>PV10_08191/PV10_08193/PV10_03909/PV10_02743/PV10_02910/PV10_02934/PV10_01385</t>
  </si>
  <si>
    <t>ko00650</t>
  </si>
  <si>
    <t>Butanoate metabolism</t>
  </si>
  <si>
    <t>50/9975</t>
  </si>
  <si>
    <t>PV10_09228/PV10_09184/PV10_07976/PV10_08016/PV10_08730/PV10_08935/PV10_08956/PV10_07721/PV10_05730/PV10_05772/PV10_06470/PV10_06767/PV10_04163/PV10_02475/PV10_02913/PV10_03045/PV10_03152/PV10_03671/PV10_00583/PV10_00808/PV10_00934</t>
  </si>
  <si>
    <t>ko00660</t>
  </si>
  <si>
    <t>C5-Branched dibasic acid metabolism</t>
  </si>
  <si>
    <t>PV10_06911</t>
  </si>
  <si>
    <t>ko00670</t>
  </si>
  <si>
    <t>One carbon pool by folate</t>
  </si>
  <si>
    <t>15/9975</t>
  </si>
  <si>
    <t>PV10_05551/PV10_06580/PV10_00460</t>
  </si>
  <si>
    <t>ko00680</t>
  </si>
  <si>
    <t>Methane metabolism</t>
  </si>
  <si>
    <t>24/9975</t>
  </si>
  <si>
    <t>PV10_08699/PV10_05314/PV10_05551/PV10_06758/PV10_04318/PV10_05120/PV10_02961/PV10_00056/PV10_00641/PV10_01792/PV10_01838</t>
  </si>
  <si>
    <t>ko00710</t>
  </si>
  <si>
    <t>Carbon fixation in photosynthetic organisms</t>
  </si>
  <si>
    <t>12/4495</t>
  </si>
  <si>
    <t>ko00720</t>
  </si>
  <si>
    <t>Carbon fixation pathways in prokaryotes</t>
  </si>
  <si>
    <t>ko00730</t>
  </si>
  <si>
    <t>Thiamine metabolism</t>
  </si>
  <si>
    <t>PV10_09218/PV10_05434/PV10_04018/PV10_02094/PV10_02927/PV10_03337</t>
  </si>
  <si>
    <t>ko00740</t>
  </si>
  <si>
    <t>Riboflavin metabolism</t>
  </si>
  <si>
    <t>PV10_09218/PV10_05434/PV10_05591/PV10_04904/PV10_02976/PV10_03337/PV10_01335/PV10_01443/PV10_01599</t>
  </si>
  <si>
    <t>ko00750</t>
  </si>
  <si>
    <t>Vitamin B6 metabolism</t>
  </si>
  <si>
    <t>PV10_05314/PV10_05322/PV10_06043/PV10_06404/PV10_04050/PV10_04787/PV10_05028</t>
  </si>
  <si>
    <t>ko00760</t>
  </si>
  <si>
    <t>Nicotinate and nicotinamide metabolism</t>
  </si>
  <si>
    <t>26/9975</t>
  </si>
  <si>
    <t>PV10_09035/PV10_08935/PV10_07927/PV10_05955/PV10_06674/PV10_06747/PV10_03758/PV10_04101/PV10_04504/PV10_03047/PV10_01421/PV10_01799</t>
  </si>
  <si>
    <t>ko00770</t>
  </si>
  <si>
    <t>Pantothenate and CoA biosynthesis</t>
  </si>
  <si>
    <t>34/9975</t>
  </si>
  <si>
    <t>ko00780</t>
  </si>
  <si>
    <t>Biotin metabolism</t>
  </si>
  <si>
    <t>ko00785</t>
  </si>
  <si>
    <t>Lipoic acid metabolism</t>
  </si>
  <si>
    <t>ko00790</t>
  </si>
  <si>
    <t>Folate biosynthesis</t>
  </si>
  <si>
    <t>ko00830</t>
  </si>
  <si>
    <t>Retinol metabolism</t>
  </si>
  <si>
    <t>ko00860</t>
  </si>
  <si>
    <t>Porphyrin metabolism</t>
  </si>
  <si>
    <t>ko00900</t>
  </si>
  <si>
    <t>Terpenoid backbone biosynthesis</t>
  </si>
  <si>
    <t>ko00901</t>
  </si>
  <si>
    <t>Indole alkaloid biosynthesis</t>
  </si>
  <si>
    <t>PV10_07694</t>
  </si>
  <si>
    <t>ko00906</t>
  </si>
  <si>
    <t>Carotenoid biosynthesis</t>
  </si>
  <si>
    <t>ko00907</t>
  </si>
  <si>
    <t>Pinene, camphor and geraniol degradation</t>
  </si>
  <si>
    <t>PV10_09228</t>
  </si>
  <si>
    <t>ko00909</t>
  </si>
  <si>
    <t>Sesquiterpenoid and triterpenoid biosynthesis</t>
  </si>
  <si>
    <t>2/9975</t>
  </si>
  <si>
    <t>ko00910</t>
  </si>
  <si>
    <t>Nitrogen metabolism</t>
  </si>
  <si>
    <t>PV10_08144/PV10_06949/PV10_07037/PV10_07704/PV10_06669/PV10_06750/PV10_04409/PV10_03005/PV10_03668/PV10_00728/PV10_01385</t>
  </si>
  <si>
    <t>ko00920</t>
  </si>
  <si>
    <t>Sulfur metabolism</t>
  </si>
  <si>
    <t>PV10_08470/PV10_07866/PV10_04675/PV10_00040/PV10_00454</t>
  </si>
  <si>
    <t>ko00930</t>
  </si>
  <si>
    <t>Caprolactam degradation</t>
  </si>
  <si>
    <t>ko00940</t>
  </si>
  <si>
    <t>Phenylpropanoid biosynthesis</t>
  </si>
  <si>
    <t>PV10_06972/PV10_05365/PV10_06569/PV10_03718/PV10_03309</t>
  </si>
  <si>
    <t>ko00941</t>
  </si>
  <si>
    <t>Flavonoid biosynthesis</t>
  </si>
  <si>
    <t>PV10_06972</t>
  </si>
  <si>
    <t>ko00945</t>
  </si>
  <si>
    <t>Stilbenoid, diarylheptanoid and gingerol biosynthesis</t>
  </si>
  <si>
    <t>ko00946</t>
  </si>
  <si>
    <t>Degradation of flavonoids</t>
  </si>
  <si>
    <t>PV10_05319/PV10_04548/PV10_03445</t>
  </si>
  <si>
    <t>ko00950</t>
  </si>
  <si>
    <t>Isoquinoline alkaloid biosynthesis</t>
  </si>
  <si>
    <t>PV10_07254/PV10_07404/PV10_07694/PV10_07708/PV10_05372/PV10_05590/PV10_05865/PV10_06128/PV10_04254</t>
  </si>
  <si>
    <t>ko00960</t>
  </si>
  <si>
    <t>Tropane, piperidine and pyridine alkaloid biosynthesis</t>
  </si>
  <si>
    <t>PV10_07254/PV10_05372/PV10_05865/PV10_06128/PV10_04254</t>
  </si>
  <si>
    <t>ko00965</t>
  </si>
  <si>
    <t>Betalain biosynthesis</t>
  </si>
  <si>
    <t>ko00966</t>
  </si>
  <si>
    <t>Glucosinolate biosynthesis</t>
  </si>
  <si>
    <t>PV10_08691/PV10_06911</t>
  </si>
  <si>
    <t>ko00970</t>
  </si>
  <si>
    <t>Aminoacyl-tRNA biosynthesis</t>
  </si>
  <si>
    <t>35/9975</t>
  </si>
  <si>
    <t>PV10_08111/PV10_07144/PV10_07576/PV10_05494/PV10_05538/PV10_06096/PV10_04653/PV10_02152/PV10_03098/PV10_03348/PV10_00394/PV10_01733</t>
  </si>
  <si>
    <t>ko00980</t>
  </si>
  <si>
    <t>Metabolism of xenobiotics by cytochrome P450</t>
  </si>
  <si>
    <t>PV10_09180/PV10_08157/PV10_08550/PV10_08700/PV10_06908/PV10_02123/PV10_02172/PV10_02245/PV10_02959/PV10_00185/PV10_00275/PV10_00553/PV10_00651/PV10_00801/PV10_01127/PV10_01464/PV10_01629</t>
  </si>
  <si>
    <t>ko00982</t>
  </si>
  <si>
    <t>Drug metabolism - cytochrome P450</t>
  </si>
  <si>
    <t>PV10_08157/PV10_08550/PV10_08700/PV10_06908/PV10_07404/PV10_07440/PV10_07708/PV10_05590/PV10_02123/PV10_02172/PV10_02245/PV10_02959/PV10_00553/PV10_00651/PV10_00801/PV10_01127/PV10_01464/PV10_01629</t>
  </si>
  <si>
    <t>ko00983</t>
  </si>
  <si>
    <t>Drug metabolism - other enzymes</t>
  </si>
  <si>
    <t>PV10_08157/PV10_08278/PV10_08550/PV10_08700/PV10_06908/PV10_03718/PV10_05174/PV10_02094/PV10_02959/PV10_00651/PV10_01127/PV10_01464</t>
  </si>
  <si>
    <t>ko00999</t>
  </si>
  <si>
    <t>Biosynthesis of various plant secondary metabolites</t>
  </si>
  <si>
    <t>10/9975</t>
  </si>
  <si>
    <t>ko01040</t>
  </si>
  <si>
    <t>Biosynthesis of unsaturated fatty acids</t>
  </si>
  <si>
    <t>PV10_09188/PV10_08095/PV10_03924/PV10_00645/PV10_00934</t>
  </si>
  <si>
    <t>ko01100</t>
  </si>
  <si>
    <t>Metabolic pathways</t>
  </si>
  <si>
    <t>465/4495</t>
  </si>
  <si>
    <t>1136/9975</t>
  </si>
  <si>
    <t>PV10_09218/PV10_09228/PV10_09180/PV10_09184/PV10_09188/PV10_09201/PV10_09035/PV10_09040/PV10_09046/PV10_09058/PV10_09073/PV10_09119/PV10_07976/PV10_08005/PV10_08037/PV10_08039/PV10_08043/PV10_08082/PV10_08088/PV10_08095/PV10_08144/PV10_08157/PV10_08178/PV10_08191/PV10_08193/PV10_08214/PV10_08278/PV10_08286/PV10_08362/PV10_08381/PV10_08433/PV10_08452/PV10_08459/PV10_08470/PV10_08473/PV10_08507/PV10_08526/PV10_08529/PV10_08550/PV10_08611/PV10_08629/PV10_08635/PV10_08648/PV10_08691/PV10_08699/PV10_08700/PV10_08712/PV10_08722/PV10_08730/PV10_08741/PV10_08772/PV10_08777/PV10_08791/PV10_08811/PV10_08823/PV10_08851/PV10_08882/PV10_08897/PV10_08905/PV10_08922/PV10_08935/PV10_08949/PV10_08956/PV10_08966/PV10_06870/PV10_06908/PV10_06911/PV10_06927/PV10_06933/PV10_06949/PV10_06971/PV10_06972/PV10_07010/PV10_07037/PV10_07061/PV10_07076/PV10_07077/PV10_07128/PV10_07166/PV10_07205/PV10_07206/PV10_07226/PV10_07254/PV10_07257/PV10_07259/PV10_07324/PV10_07377/PV10_07391/PV10_07404/PV10_07417/PV10_07420/PV10_07440/PV10_07450/PV10_07451/PV10_07456/PV10_07573/PV10_07615/PV10_07641/PV10_07652/PV10_07672/PV10_07694/PV10_07701/PV10_07704/PV10_07708/PV10_07721/PV10_07741/PV10_07748/PV10_07756/PV10_07778/PV10_07810/PV10_07866/PV10_07873/PV10_07882/PV10_07894/PV10_07927/PV10_05292/PV10_05304/PV10_05314/PV10_05318/PV10_05319/PV10_05320/PV10_05322/PV10_05356/PV10_05365/PV10_05372/PV10_05379/PV10_05381/PV10_05418/PV10_05434/PV10_05444/PV10_05495/PV10_05532/PV10_05551/PV10_05554/PV10_05556/PV10_05590/PV10_05591/PV10_05597/PV10_05627/PV10_05628/PV10_05650/PV10_05654/PV10_05677/PV10_05730/PV10_05749/PV10_05772/PV10_05832/PV10_05842/PV10_05865/PV10_05896/PV10_05955/PV10_05966/PV10_05980/PV10_06043/PV10_06049/PV10_06073/PV10_06118/PV10_06128/PV10_06153/PV10_06165/PV10_06185/PV10_06220/PV10_06273/PV10_06404/PV10_06409/PV10_06470/PV10_06501/PV10_06540/PV10_06569/PV10_06580/PV10_06603/PV10_06669/PV10_06674/PV10_06677/PV10_06678/PV10_06722/PV10_06747/PV10_06750/PV10_06758/PV10_06767/PV10_06775/PV10_06788/PV10_06810/PV10_06811/PV10_03679/PV10_03691/PV10_03699/PV10_03702/PV10_03718/PV10_03727/PV10_03758/PV10_03770/PV10_03777/PV10_03807/PV10_03864/PV10_03909/PV10_03923/PV10_03924/PV10_03925/PV10_03950/PV10_03963/PV10_03984/PV10_04008/PV10_04012/PV10_04018/PV10_04050/PV10_04062/PV10_04101/PV10_04163/PV10_04210/PV10_04212/PV10_04254/PV10_04271/PV10_04306/PV10_04308/PV10_04317/PV10_04318/PV10_04339/PV10_04349/PV10_04407/PV10_04409/PV10_04489/PV10_04504/PV10_04548/PV10_04570/PV10_04571/PV10_04590/PV10_04628/PV10_04659/PV10_04675/PV10_04729/PV10_04743/PV10_04787/PV10_04792/PV10_04823/PV10_04869/PV10_04887/PV10_04895/PV10_04904/PV10_04948/PV10_05028/PV10_05065/PV10_05068/PV10_05084/PV10_05120/PV10_05127/PV10_05131/PV10_05169/PV10_05174/PV10_05192/PV10_05251/PV10_01999/PV10_02004/PV10_02009/PV10_02046/PV10_02048/PV10_02072/PV10_02075/PV10_02092/PV10_02094/PV10_02104/PV10_02106/PV10_02113/PV10_02123/PV10_02125/PV10_02172/PV10_02174/PV10_02175/PV10_02195/PV10_02241/PV10_02245/PV10_02289/PV10_02292/PV10_02323/PV10_02339/PV10_02353/PV10_02356/PV10_02493/PV10_02498/PV10_02597/PV10_02624/PV10_02743/PV10_02763/PV10_02787/PV10_02796/PV10_02799/PV10_02818/PV10_02844/PV10_02850/PV10_02851/PV10_02854/PV10_02868/PV10_02910/PV10_02913/PV10_02927/PV10_02934/PV10_02951/PV10_02959/PV10_02961/PV10_02968/PV10_02976/PV10_02977/PV10_02988/PV10_02996/PV10_03005/PV10_03016/PV10_03027/PV10_03037/PV10_03045/PV10_03047/PV10_03079/PV10_03111/PV10_03128/PV10_03131/PV10_03152/PV10_03244/PV10_03254/PV10_03260/PV10_03299/PV10_03306/PV10_03309/PV10_03311/PV10_03327/PV10_03331/PV10_03337/PV10_03348/PV10_03352/PV10_03353/PV10_03394/PV10_03404/PV10_03445/PV10_03459/PV10_03461/PV10_03503/PV10_03515/PV10_03562/PV10_03584/PV10_03649/PV10_03668/PV10_00040/PV10_00056/PV10_00064/PV10_00069/PV10_00081/PV10_00101/PV10_00118/PV10_00127/PV10_00185/PV10_00223/PV10_00234/PV10_00235/PV10_00253/PV10_00273/PV10_00284/PV10_00300/PV10_00316/PV10_00318/PV10_00336/PV10_00346/PV10_00384/PV10_00418/PV10_00420/PV10_00430/PV10_00460/PV10_00479/PV10_00481/PV10_00515/PV10_00522/PV10_00525/PV10_00527/PV10_00540/PV10_00553/PV10_00568/PV10_00572/PV10_00583/PV10_00598/PV10_00641/PV10_00643/PV10_00645/PV10_00651/PV10_00704/PV10_00705/PV10_00728/PV10_00735/PV10_00768/PV10_00801/PV10_00845/PV10_00860/PV10_00868/PV10_00925/PV10_00934/PV10_00949/PV10_00957/PV10_00963/PV10_01001/PV10_01023/PV10_01077/PV10_01127/PV10_01141/PV10_01169/PV10_01186/PV10_01335/PV10_01379/PV10_01385/PV10_01418/PV10_01421/PV10_01428/PV10_01443/PV10_01458/PV10_01464/PV10_01465/PV10_01466/PV10_01491/PV10_01498/PV10_01521/PV10_01559/PV10_01571/PV10_01589/PV10_01599/PV10_01603/PV10_01629/PV10_01638/PV10_01690/PV10_01717/PV10_01733/PV10_01766/PV10_01769/PV10_01780/PV10_01792/PV10_01799/PV10_01825/PV10_01832/PV10_01838/PV10_01840/PV10_01843/PV10_01895/PV10_01930</t>
  </si>
  <si>
    <t>ko01110</t>
  </si>
  <si>
    <t>Biosynthesis of secondary metabolites</t>
  </si>
  <si>
    <t>207/4495</t>
  </si>
  <si>
    <t>452/9975</t>
  </si>
  <si>
    <t>PV10_09228/PV10_09201/PV10_09058/PV10_08005/PV10_08016/PV10_08037/PV10_08088/PV10_08095/PV10_08433/PV10_08452/PV10_08459/PV10_08473/PV10_08611/PV10_08635/PV10_08648/PV10_08691/PV10_08699/PV10_08772/PV10_08791/PV10_08811/PV10_08823/PV10_08850/PV10_08851/PV10_08922/PV10_06829/PV10_06870/PV10_06911/PV10_06927/PV10_06933/PV10_06972/PV10_07076/PV10_07077/PV10_07205/PV10_07254/PV10_07257/PV10_07259/PV10_07391/PV10_07404/PV10_07420/PV10_07615/PV10_07641/PV10_07652/PV10_07694/PV10_07701/PV10_07708/PV10_07741/PV10_07778/PV10_07882/PV10_07894/PV10_07927/PV10_05292/PV10_05304/PV10_05314/PV10_05319/PV10_05320/PV10_05356/PV10_05365/PV10_05372/PV10_05418/PV10_05495/PV10_05532/PV10_05551/PV10_05590/PV10_05627/PV10_05628/PV10_05650/PV10_05654/PV10_05842/PV10_05865/PV10_05966/PV10_06118/PV10_06128/PV10_06153/PV10_06165/PV10_06220/PV10_06470/PV10_06540/PV10_06569/PV10_06677/PV10_06678/PV10_06788/PV10_06810/PV10_03679/PV10_03718/PV10_03807/PV10_03924/PV10_03925/PV10_03984/PV10_04012/PV10_04254/PV10_04271/PV10_04306/PV10_04308/PV10_04548/PV10_04571/PV10_04729/PV10_04787/PV10_04792/PV10_04895/PV10_04904/PV10_05084/PV10_05192/PV10_02046/PV10_02072/PV10_02094/PV10_02104/PV10_02112/PV10_02125/PV10_02165/PV10_02172/PV10_02174/PV10_02175/PV10_02195/PV10_02245/PV10_02323/PV10_02475/PV10_02772/PV10_02796/PV10_02818/PV10_02844/PV10_02851/PV10_02854/PV10_02868/PV10_02913/PV10_02961/PV10_02976/PV10_02977/PV10_02996/PV10_03016/PV10_03027/PV10_03045/PV10_03152/PV10_03244/PV10_03309/PV10_03311/PV10_03394/PV10_03404/PV10_03445/PV10_03459/PV10_03461/PV10_03515/PV10_03562/PV10_03631/PV10_03671/PV10_00040/PV10_00056/PV10_00064/PV10_00101/PV10_00118/PV10_00127/PV10_00234/PV10_00273/PV10_00316/PV10_00318/PV10_00346/PV10_00384/PV10_00418/PV10_00420/PV10_00430/PV10_00479/PV10_00481/PV10_00522/PV10_00527/PV10_00553/PV10_00560/PV10_00568/PV10_00583/PV10_00598/PV10_00645/PV10_00735/PV10_00801/PV10_00808/PV10_00925/PV10_00934/PV10_00957/PV10_00963/PV10_01023/PV10_01026/PV10_01186/PV10_01335/PV10_01443/PV10_01491/PV10_01498/PV10_01546/PV10_01559/PV10_01599/PV10_01603/PV10_01629/PV10_01638/PV10_01780/PV10_01792/PV10_01838/PV10_01895/PV10_01930</t>
  </si>
  <si>
    <t>ko01120</t>
  </si>
  <si>
    <t>Microbial metabolism in diverse environments</t>
  </si>
  <si>
    <t>117/4495</t>
  </si>
  <si>
    <t>289/9975</t>
  </si>
  <si>
    <t>PV10_09228/PV10_09058/PV10_08037/PV10_08082/PV10_08088/PV10_08144/PV10_08191/PV10_08193/PV10_08362/PV10_08452/PV10_08459/PV10_08470/PV10_08635/PV10_08699/PV10_08741/PV10_08772/PV10_08935/PV10_07205/PV10_07206/PV10_07324/PV10_07615/PV10_07701/PV10_07866/PV10_05314/PV10_05322/PV10_05356/PV10_05426/PV10_05532/PV10_05551/PV10_05627/PV10_05654/PV10_05730/PV10_05749/PV10_05772/PV10_05842/PV10_05896/PV10_06049/PV10_06273/PV10_06409/PV10_06470/PV10_06580/PV10_06669/PV10_06758/PV10_06810/PV10_03727/PV10_03909/PV10_04050/PV10_04212/PV10_04306/PV10_04308/PV10_04317/PV10_04318/PV10_04339/PV10_04349/PV10_04409/PV10_04571/PV10_04675/PV10_04787/PV10_04895/PV10_05028/PV10_05084/PV10_05120/PV10_02092/PV10_02104/PV10_02106/PV10_02107/PV10_02172/PV10_02174/PV10_02175/PV10_02245/PV10_02743/PV10_02850/PV10_02851/PV10_02868/PV10_02910/PV10_02913/PV10_02934/PV10_02951/PV10_02961/PV10_03045/PV10_03152/PV10_03244/PV10_03299/PV10_03306/PV10_03311/PV10_03503/PV10_00056/PV10_00069/PV10_00081/PV10_00101/PV10_00127/PV10_00181/PV10_00223/PV10_00384/PV10_00454/PV10_00460/PV10_00481/PV10_00515/PV10_00553/PV10_00583/PV10_00641/PV10_00801/PV10_00934/PV10_00957/PV10_01385/PV10_01491/PV10_01603/PV10_01629/PV10_01638/PV10_01792/PV10_01825/PV10_01838</t>
  </si>
  <si>
    <t>ko01200</t>
  </si>
  <si>
    <t>Carbon metabolism</t>
  </si>
  <si>
    <t>60/4495</t>
  </si>
  <si>
    <t>118/9975</t>
  </si>
  <si>
    <t>PV10_09228/PV10_08037/PV10_08088/PV10_08095/PV10_08473/PV10_08635/PV10_08699/PV10_08741/PV10_08922/PV10_06927/PV10_07076/PV10_07077/PV10_07205/PV10_07701/PV10_05314/PV10_05356/PV10_05551/PV10_05654/PV10_05842/PV10_06580/PV10_06758/PV10_06810/PV10_03777/PV10_04271/PV10_04306/PV10_04308/PV10_04318/PV10_04571/PV10_04729/PV10_04895/PV10_05084/PV10_05120/PV10_02092/PV10_02174/PV10_02175/PV10_02851/PV10_02868/PV10_02913/PV10_02961/PV10_03045/PV10_03152/PV10_03244/PV10_03306/PV10_03311/PV10_00056/PV10_00384/PV10_00460/PV10_00481/PV10_00522/PV10_00641/PV10_00645/PV10_00728/PV10_00934/PV10_01491/PV10_01603/PV10_01792/PV10_01838</t>
  </si>
  <si>
    <t>ko01210</t>
  </si>
  <si>
    <t>2-Oxocarboxylic acid metabolism</t>
  </si>
  <si>
    <t>PV10_08459/PV10_08691/PV10_08772/PV10_08851/PV10_06911/PV10_07254/PV10_05532/PV10_04254/PV10_04306/PV10_02175/PV10_02796/PV10_03306/PV10_00384/PV10_00430/PV10_00527/PV10_00957/PV10_01603</t>
  </si>
  <si>
    <t>ko01212</t>
  </si>
  <si>
    <t>Fatty acid metabolism</t>
  </si>
  <si>
    <t>PV10_09228/PV10_09188/PV10_08095/PV10_08791/PV10_07077/PV10_07450/PV10_07451/PV10_07615/PV10_07882/PV10_03924/PV10_04062/PV10_02854/PV10_02913/PV10_03404/PV10_00645/PV10_00934/PV10_01001/PV10_01458/PV10_01498</t>
  </si>
  <si>
    <t>ko01220</t>
  </si>
  <si>
    <t>Degradation of aromatic compounds</t>
  </si>
  <si>
    <t>27/9975</t>
  </si>
  <si>
    <t>PV10_05749/PV10_06049/PV10_06409/PV10_03727/PV10_02106/PV10_02172/PV10_02245/PV10_02850/PV10_00553/PV10_00801/PV10_01629</t>
  </si>
  <si>
    <t>ko01230</t>
  </si>
  <si>
    <t>Biosynthesis of amino acids</t>
  </si>
  <si>
    <t>51/4495</t>
  </si>
  <si>
    <t>135/9975</t>
  </si>
  <si>
    <t>PV10_08433/PV10_08459/PV10_08635/PV10_08691/PV10_08772/PV10_08851/PV10_08922/PV10_06870/PV10_06911/PV10_06933/PV10_07254/PV10_07894/PV10_05304/PV10_05314/PV10_05532/PV10_05551/PV10_05627/PV10_05842/PV10_06669/PV10_04012/PV10_04254/PV10_04306/PV10_04787/PV10_04895/PV10_05084/PV10_02092/PV10_02175/PV10_02796/PV10_02868/PV10_02961/PV10_03016/PV10_03306/PV10_03461/PV10_00040/PV10_00056/PV10_00384/PV10_00430/PV10_00479/PV10_00527/PV10_00568/PV10_00735/PV10_00957/PV10_01603/PV10_01895/PV10_01930</t>
  </si>
  <si>
    <t>ko01232</t>
  </si>
  <si>
    <t>Nucleotide metabolism</t>
  </si>
  <si>
    <t>PV10_09035/PV10_08278/PV10_08722/PV10_07652/PV10_07927/PV10_03807/PV10_04590/PV10_05174/PV10_02094/PV10_02799/PV10_03079/PV10_00284/PV10_00868/PV10_01825</t>
  </si>
  <si>
    <t>ko01240</t>
  </si>
  <si>
    <t>Biosynthesis of cofactors</t>
  </si>
  <si>
    <t>69/4495</t>
  </si>
  <si>
    <t>145/9975</t>
  </si>
  <si>
    <t>PV10_09058/PV10_09073/PV10_08043/PV10_08452/PV10_08507/PV10_08611/PV10_08648/PV10_08691/PV10_08897/PV10_08966/PV10_07010/PV10_07077/PV10_07641/PV10_07652/PV10_07741/PV10_07882/PV10_05314/PV10_05322/PV10_05551/PV10_05955/PV10_06043/PV10_06118/PV10_06153/PV10_06167/PV10_06404/PV10_06674/PV10_06677/PV10_06811/PV10_03758/PV10_04018/PV10_04101/PV10_04504/PV10_04887/PV10_04904/PV10_05028/PV10_05065/PV10_02009/PV10_02094/PV10_02113/PV10_02799/PV10_02854/PV10_02927/PV10_02976/PV10_03027/PV10_03047/PV10_03459/PV10_03515/PV10_03584/PV10_00127/PV10_00234/PV10_00273/PV10_00460/PV10_00860/PV10_00925/PV10_00949/PV10_01186/PV10_01335/PV10_01421/PV10_01443/PV10_01498/PV10_01599/PV10_01638</t>
  </si>
  <si>
    <t>ko01250</t>
  </si>
  <si>
    <t>Biosynthesis of nucleotide sugars</t>
  </si>
  <si>
    <t>PV10_08507/PV10_07205/PV10_05832/PV10_04489/PV10_02597/PV10_03515/PV10_00925</t>
  </si>
  <si>
    <t>ko02010</t>
  </si>
  <si>
    <t>ABC transporters</t>
  </si>
  <si>
    <t>PV10_09203/PV10_07626/PV10_06176/PV10_02114/PV10_02154/PV10_00244/PV10_01362</t>
  </si>
  <si>
    <t>ko02020</t>
  </si>
  <si>
    <t>Two-component system</t>
  </si>
  <si>
    <t>PV10_08382/PV10_06922/PV10_07641/PV10_06224/PV10_06669/PV10_04424/PV10_02487/PV10_02913/PV10_03037/PV10_03598/PV10_00934/PV10_01571</t>
  </si>
  <si>
    <t>ko02024</t>
  </si>
  <si>
    <t>Quorum sensing</t>
  </si>
  <si>
    <t>PV10_06870/PV10_06220/PV10_06470/PV10_06771/PV10_04062/PV10_00583/PV10_01001/PV10_01443/PV10_01895</t>
  </si>
  <si>
    <t>ko02025</t>
  </si>
  <si>
    <t>Biofilm formation - Pseudomonas aeruginosa</t>
  </si>
  <si>
    <t>PV10_06224/PV10_02487/PV10_01895</t>
  </si>
  <si>
    <t>ko02026</t>
  </si>
  <si>
    <t>Biofilm formation - Escherichia coli</t>
  </si>
  <si>
    <t>PV10_05444</t>
  </si>
  <si>
    <t>ko03008</t>
  </si>
  <si>
    <t>Ribosome biogenesis in eukaryotes</t>
  </si>
  <si>
    <t>65/9975</t>
  </si>
  <si>
    <t>PV10_07946/PV10_08181/PV10_08407/PV10_08444/PV10_07132/PV10_07133/PV10_07168/PV10_07197/PV10_07365/PV10_07809/PV10_05496/PV10_05901/PV10_06298/PV10_06511/PV10_06597/PV10_04525/PV10_03018/PV10_03125/PV10_00846/PV10_01518</t>
  </si>
  <si>
    <t>ko03010</t>
  </si>
  <si>
    <t>Ribosome</t>
  </si>
  <si>
    <t>58/4495</t>
  </si>
  <si>
    <t>110/9975</t>
  </si>
  <si>
    <t>PV10_08983/PV10_09063/PV10_08022/PV10_08172/PV10_08230/PV10_08330/PV10_08408/PV10_08440/PV10_08512/PV10_08745/PV10_08795/PV10_06843/PV10_06880/PV10_07326/PV10_07410/PV10_07600/PV10_05478/PV10_05537/PV10_05545/PV10_05700/PV10_05766/PV10_05892/PV10_05973/PV10_05999/PV10_06723/PV10_06763/PV10_04482/PV10_04847/PV10_04971/PV10_05002/PV10_05145/PV10_02002/PV10_02161/PV10_02234/PV10_02281/PV10_02316/PV10_02361/PV10_02543/PV10_02663/PV10_03218/PV10_03362/PV10_03437/PV10_03577/PV10_03587/PV10_03648/PV10_00112/PV10_00375/PV10_00557/PV10_00694/PV10_00889/PV10_00984/PV10_00985/PV10_01180/PV10_01331/PV10_01402/PV10_01659/PV10_01750/PV10_01873</t>
  </si>
  <si>
    <t>ko03013</t>
  </si>
  <si>
    <t>Nucleocytoplasmic transport</t>
  </si>
  <si>
    <t>31/4495</t>
  </si>
  <si>
    <t>PV10_09190/PV10_08034/PV10_08285/PV10_08306/PV10_08458/PV10_08524/PV10_07349/PV10_07807/PV10_05390/PV10_05874/PV10_05939/PV10_05962/PV10_06133/PV10_06324/PV10_06403/PV10_06577/PV10_06697/PV10_04472/PV10_05024/PV10_05121/PV10_03357/PV10_03415/PV10_00254/PV10_00497/PV10_00608/PV10_00846/PV10_00863/PV10_01518/PV10_01597/PV10_01632/PV10_01839</t>
  </si>
  <si>
    <t>ko03015</t>
  </si>
  <si>
    <t>mRNA surveillance pathway</t>
  </si>
  <si>
    <t>PV10_09061/PV10_08306/PV10_08364/PV10_07294/PV10_07524/PV10_05390/PV10_05874/PV10_05962/PV10_06130/PV10_06330/PV10_06403/PV10_06549/PV10_04146/PV10_04890/PV10_05024/PV10_02434/PV10_03415/PV10_00073/PV10_01080</t>
  </si>
  <si>
    <t>ko03018</t>
  </si>
  <si>
    <t>RNA degradation</t>
  </si>
  <si>
    <t>48/9975</t>
  </si>
  <si>
    <t>PV10_09226/PV10_08196/PV10_06868/PV10_07141/PV10_05397/PV10_04685/PV10_05158/PV10_02766/PV10_02805/PV10_02813/PV10_03004/PV10_03506/PV10_00250/PV10_00730/PV10_01398/PV10_01723</t>
  </si>
  <si>
    <t>ko03020</t>
  </si>
  <si>
    <t>RNA polymerase</t>
  </si>
  <si>
    <t>PV10_07107/PV10_06381/PV10_06724/PV10_04135/PV10_03006/PV10_03370/PV10_03478</t>
  </si>
  <si>
    <t>ko03022</t>
  </si>
  <si>
    <t>Basal transcription factors</t>
  </si>
  <si>
    <t>PV10_06838/PV10_06920/PV10_05871/PV10_05897/PV10_06375/PV10_06482/PV10_03730/PV10_03751/PV10_04003/PV10_04035/PV10_04069/PV10_04282/PV10_05032/PV10_05091/PV10_02041/PV10_02098/PV10_02711/PV10_00388/PV10_00436/PV10_01196/PV10_01351/PV10_01598/PV10_01662</t>
  </si>
  <si>
    <t>ko03030</t>
  </si>
  <si>
    <t>DNA replication</t>
  </si>
  <si>
    <t>PV10_07084/PV10_07396/PV10_07753/PV10_07875/PV10_05646/PV10_05904/PV10_06514/PV10_06587/PV10_03862/PV10_04167/PV10_04499/PV10_04813/PV10_04822/PV10_05118/PV10_03105/PV10_01113/PV10_01305/PV10_01431</t>
  </si>
  <si>
    <t>ko03040</t>
  </si>
  <si>
    <t>Spliceosome</t>
  </si>
  <si>
    <t>32/4495</t>
  </si>
  <si>
    <t>86/9975</t>
  </si>
  <si>
    <t>PV10_08998/PV10_08012/PV10_08196/PV10_08215/PV10_08223/PV10_08258/PV10_06919/PV10_07523/PV10_07679/PV10_05390/PV10_05797/PV10_05874/PV10_05962/PV10_06021/PV10_06133/PV10_06403/PV10_06548/PV10_04581/PV10_04605/PV10_04721/PV10_04929/PV10_05086/PV10_02015/PV10_02022/PV10_02697/PV10_02811/PV10_02944/PV10_03004/PV10_03578/PV10_03604/PV10_00085/PV10_01386</t>
  </si>
  <si>
    <t>ko03050</t>
  </si>
  <si>
    <t>Proteasome</t>
  </si>
  <si>
    <t>PV10_09185/PV10_08055/PV10_06829/PV10_06891/PV10_07260/PV10_07726/PV10_07900/PV10_05622/PV10_05899/PV10_06664/PV10_04269/PV10_04858/PV10_05110/PV10_05194/PV10_02070/PV10_02120/PV10_02236/PV10_02330/PV10_02368/PV10_02444/PV10_02676/PV10_02975/PV10_03023/PV10_00095/PV10_00120/PV10_00239/PV10_00605/PV10_00847/PV10_00892/PV10_01371/PV10_01841</t>
  </si>
  <si>
    <t>ko03060</t>
  </si>
  <si>
    <t>Protein export</t>
  </si>
  <si>
    <t>PV10_05782/PV10_06046/PV10_06313/PV10_06771/PV10_00574/PV10_01021/PV10_01085</t>
  </si>
  <si>
    <t>ko03070</t>
  </si>
  <si>
    <t>Bacterial secretion system</t>
  </si>
  <si>
    <t>PV10_06771</t>
  </si>
  <si>
    <t>ko03250</t>
  </si>
  <si>
    <t>Viral life cycle - HIV-1</t>
  </si>
  <si>
    <t>PV10_08097/PV10_06830/PV10_06325/PV10_06725/PV10_01985/PV10_00715/PV10_00846/PV10_01518</t>
  </si>
  <si>
    <t>ko03266</t>
  </si>
  <si>
    <t>Virion - Herpesvirus</t>
  </si>
  <si>
    <t>PV10_04889</t>
  </si>
  <si>
    <t>ko03320</t>
  </si>
  <si>
    <t>PPAR signaling pathway</t>
  </si>
  <si>
    <t>PV10_08095/PV10_08741/PV10_08791/PV10_04062/PV10_02546/PV10_00645/PV10_00934/PV10_01001/PV10_01766</t>
  </si>
  <si>
    <t>ko03410</t>
  </si>
  <si>
    <t>Base excision repair</t>
  </si>
  <si>
    <t>PV10_08066/PV10_08240/PV10_08813/PV10_06954/PV10_07084/PV10_07396/PV10_07520/PV10_05646/PV10_06587/PV10_04479/PV10_04813/PV10_05118/PV10_03105/PV10_01113/PV10_01305/PV10_01431</t>
  </si>
  <si>
    <t>ko03420</t>
  </si>
  <si>
    <t>Nucleotide excision repair</t>
  </si>
  <si>
    <t>33/4495</t>
  </si>
  <si>
    <t>PV10_07084/PV10_07107/PV10_07396/PV10_05473/PV10_05646/PV10_05783/PV10_05897/PV10_06162/PV10_06413/PV10_06426/PV10_06587/PV10_06724/PV10_04035/PV10_04167/PV10_04578/PV10_04813/PV10_04949/PV10_05091/PV10_05118/PV10_02041/PV10_02098/PV10_02203/PV10_02437/PV10_02711/PV10_03006/PV10_03105/PV10_03478/PV10_00388/PV10_00436/PV10_01113/PV10_01305/PV10_01431/PV10_01662</t>
  </si>
  <si>
    <t>ko03430</t>
  </si>
  <si>
    <t>Mismatch repair</t>
  </si>
  <si>
    <t>PV10_07396/PV10_05646/PV10_05904/PV10_06587/PV10_04167/PV10_04813/PV10_05011/PV10_05118/PV10_02216/PV10_02984/PV10_03105/PV10_00164/PV10_00213/PV10_01113/PV10_01305/PV10_01431</t>
  </si>
  <si>
    <t>ko03440</t>
  </si>
  <si>
    <t>Homologous recombination</t>
  </si>
  <si>
    <t>PV10_08681/PV10_05904/PV10_06521/PV10_03795/PV10_04167/PV10_04813/PV10_04946/PV10_05118/PV10_02185/PV10_03455/PV10_00133/PV10_00814</t>
  </si>
  <si>
    <t>ko03450</t>
  </si>
  <si>
    <t>Non-homologous end-joining</t>
  </si>
  <si>
    <t>PV10_08108/PV10_08517/PV10_06154/PV10_04946/PV10_03455</t>
  </si>
  <si>
    <t>ko03460</t>
  </si>
  <si>
    <t>Fanconi anemia pathway</t>
  </si>
  <si>
    <t>PV10_08681/PV10_07469/PV10_07593/PV10_05473/PV10_05490/PV10_06521/PV10_06582/PV10_03795/PV10_04153/PV10_04167/PV10_04951/PV10_05011/PV10_02403/PV10_03287/PV10_00814/PV10_01567/PV10_01834</t>
  </si>
  <si>
    <t>ko04010</t>
  </si>
  <si>
    <t>MAPK signaling pathway</t>
  </si>
  <si>
    <t>PV10_09013/PV10_04293/PV10_04818/PV10_01851</t>
  </si>
  <si>
    <t>ko04011</t>
  </si>
  <si>
    <t>MAPK signaling pathway - yeast</t>
  </si>
  <si>
    <t>28/4495</t>
  </si>
  <si>
    <t>64/9975</t>
  </si>
  <si>
    <t>PV10_08343/PV10_08382/PV10_08473/PV10_07347/PV10_07771/PV10_05368/PV10_05378/PV10_05408/PV10_05704/PV10_04271/PV10_04406/PV10_04729/PV10_04742/PV10_04854/PV10_02292/PV10_02546/PV10_02772/PV10_03131/PV10_03221/PV10_00035/PV10_00522/PV10_00524/PV10_00655/PV10_00705/PV10_01313/PV10_01328/PV10_01675/PV10_01851</t>
  </si>
  <si>
    <t>ko04012</t>
  </si>
  <si>
    <t>ErbB signaling pathway</t>
  </si>
  <si>
    <t>PV10_06869/PV10_04818</t>
  </si>
  <si>
    <t>ko04013</t>
  </si>
  <si>
    <t>MAPK signaling pathway - fly</t>
  </si>
  <si>
    <t>PV10_09013/PV10_08294/PV10_07659/PV10_04818/PV10_01518/PV10_01851</t>
  </si>
  <si>
    <t>ko04014</t>
  </si>
  <si>
    <t>Ras signaling pathway</t>
  </si>
  <si>
    <t>PV10_09013/PV10_08623/PV10_04818/PV10_02338/PV10_02449/PV10_00346/PV10_01604</t>
  </si>
  <si>
    <t>ko04015</t>
  </si>
  <si>
    <t>Rap1 signaling pathway</t>
  </si>
  <si>
    <t>PV10_09013/PV10_07659/PV10_01851</t>
  </si>
  <si>
    <t>ko04016</t>
  </si>
  <si>
    <t>MAPK signaling pathway - plant</t>
  </si>
  <si>
    <t>PV10_08473/PV10_04271/PV10_04729/PV10_03639/PV10_00522</t>
  </si>
  <si>
    <t>ko04020</t>
  </si>
  <si>
    <t>Calcium signaling pathway</t>
  </si>
  <si>
    <t>PV10_07964/PV10_08283/PV10_04293/PV10_00124</t>
  </si>
  <si>
    <t>ko04022</t>
  </si>
  <si>
    <t>cGMP-PKG signaling pathway</t>
  </si>
  <si>
    <t>PV10_07964/PV10_08283/PV10_04293/PV10_02434</t>
  </si>
  <si>
    <t>ko04024</t>
  </si>
  <si>
    <t>cAMP signaling pathway</t>
  </si>
  <si>
    <t>PV10_09013/PV10_08095/PV10_02434/PV10_00346/PV10_00645</t>
  </si>
  <si>
    <t>ko04062</t>
  </si>
  <si>
    <t>Chemokine signaling pathway</t>
  </si>
  <si>
    <t>PV10_09013/PV10_04818</t>
  </si>
  <si>
    <t>ko04064</t>
  </si>
  <si>
    <t>NF-kappa B signaling pathway</t>
  </si>
  <si>
    <t>PV10_07946/PV10_08285/PV10_07132</t>
  </si>
  <si>
    <t>ko04066</t>
  </si>
  <si>
    <t>HIF-1 signaling pathway</t>
  </si>
  <si>
    <t>PV10_08635/PV10_06869/PV10_07205/PV10_05783/PV10_04895</t>
  </si>
  <si>
    <t>ko04068</t>
  </si>
  <si>
    <t>FoxO signaling pathway</t>
  </si>
  <si>
    <t>PV10_08294/PV10_08473/PV10_08612/PV10_06615/PV10_04271/PV10_04729/PV10_04818/PV10_02546/PV10_00397/PV10_00522/PV10_00658/PV10_01851</t>
  </si>
  <si>
    <t>ko04070</t>
  </si>
  <si>
    <t>Phosphatidylinositol signaling system</t>
  </si>
  <si>
    <t>PV10_09046/PV10_07259/PV10_07292/PV10_04869/PV10_02004/PV10_02289/PV10_02292/PV10_02339/PV10_00963/PV10_01690</t>
  </si>
  <si>
    <t>ko04071</t>
  </si>
  <si>
    <t>Sphingolipid signaling pathway</t>
  </si>
  <si>
    <t>PV10_09013/PV10_09061/PV10_08629/PV10_04146/PV10_02546/PV10_00346/PV10_00643/PV10_00704/PV10_01851</t>
  </si>
  <si>
    <t>ko04072</t>
  </si>
  <si>
    <t>Phospholipase D signaling pathway</t>
  </si>
  <si>
    <t>PV10_06869/PV10_04818/PV10_00346</t>
  </si>
  <si>
    <t>ko04080</t>
  </si>
  <si>
    <t>Neuroactive ligand-receptor interaction</t>
  </si>
  <si>
    <t>PV10_07230/PV10_06642</t>
  </si>
  <si>
    <t>ko04110</t>
  </si>
  <si>
    <t>Cell cycle</t>
  </si>
  <si>
    <t>26/4495</t>
  </si>
  <si>
    <t>56/9975</t>
  </si>
  <si>
    <t>PV10_09061/PV10_08767/PV10_07119/PV10_07469/PV10_07875/PV10_05499/PV10_05783/PV10_05897/PV10_06160/PV10_06514/PV10_03982/PV10_04096/PV10_04146/PV10_04344/PV10_04592/PV10_05128/PV10_02041/PV10_02293/PV10_02551/PV10_02798/PV10_03496/PV10_00104/PV10_00324/PV10_00376/PV10_01305/PV10_01393</t>
  </si>
  <si>
    <t>ko04111</t>
  </si>
  <si>
    <t>Cell cycle - yeast</t>
  </si>
  <si>
    <t>85/9975</t>
  </si>
  <si>
    <t>PV10_09061/PV10_07966/PV10_08767/PV10_07119/PV10_07875/PV10_07876/PV10_05499/PV10_05783/PV10_06160/PV10_06513/PV10_06514/PV10_06730/PV10_03982/PV10_04096/PV10_04344/PV10_04406/PV10_04585/PV10_04592/PV10_04617/PV10_05128/PV10_02293/PV10_02798/PV10_03008/PV10_03221/PV10_00104/PV10_00143/PV10_00224/PV10_00324/PV10_00667/PV10_01224/PV10_01233/PV10_01393/PV10_01675</t>
  </si>
  <si>
    <t>ko04113</t>
  </si>
  <si>
    <t>Meiosis - yeast</t>
  </si>
  <si>
    <t>30/4495</t>
  </si>
  <si>
    <t>PV10_09061/PV10_08767/PV10_08775/PV10_06869/PV10_07039/PV10_07119/PV10_07875/PV10_07876/PV10_05499/PV10_05546/PV10_06514/PV10_06730/PV10_03982/PV10_04096/PV10_04146/PV10_04344/PV10_04538/PV10_04585/PV10_04592/PV10_04902/PV10_02434/PV10_02798/PV10_03221/PV10_00104/PV10_00324/PV10_00397/PV10_01146/PV10_01393/PV10_01445/PV10_01675</t>
  </si>
  <si>
    <t>ko04114</t>
  </si>
  <si>
    <t>Oocyte meiosis</t>
  </si>
  <si>
    <t>PV10_09061/PV10_08767/PV10_08911/PV10_07119/PV10_05499/PV10_05783/PV10_06160/PV10_03982/PV10_04146/PV10_04293/PV10_04344/PV10_02434/PV10_02798/PV10_00104/PV10_01558/PV10_01851</t>
  </si>
  <si>
    <t>ko04115</t>
  </si>
  <si>
    <t>p53 signaling pathway</t>
  </si>
  <si>
    <t>PV10_07469/PV10_05717/PV10_03828/PV10_05174/PV10_02293/PV10_02793/PV10_01571</t>
  </si>
  <si>
    <t>ko04120</t>
  </si>
  <si>
    <t>Ubiquitin mediated proteolysis</t>
  </si>
  <si>
    <t>PV10_08285/PV10_08911/PV10_06952/PV10_07150/PV10_05768/PV10_05783/PV10_05839/PV10_05898/PV10_05920/PV10_06160/PV10_06505/PV10_06513/PV10_06684/PV10_03982/PV10_04344/PV10_04578/PV10_04636/PV10_04949/PV10_02203/PV10_02720/PV10_03642/PV10_00104/PV10_01558/PV10_01659/PV10_01698/PV10_01888</t>
  </si>
  <si>
    <t>ko04122</t>
  </si>
  <si>
    <t>Sulfur relay system</t>
  </si>
  <si>
    <t>PV10_05394/PV10_05828/PV10_03516/PV10_00860</t>
  </si>
  <si>
    <t>ko04130</t>
  </si>
  <si>
    <t>SNARE interactions in vesicular transport</t>
  </si>
  <si>
    <t>16/9975</t>
  </si>
  <si>
    <t>PV10_07235/PV10_07457/PV10_05562/PV10_06024/PV10_06754/PV10_01814</t>
  </si>
  <si>
    <t>ko04136</t>
  </si>
  <si>
    <t>Autophagy - other</t>
  </si>
  <si>
    <t>PV10_08612/PV10_06869/PV10_07904/PV10_05594/PV10_06009/PV10_03812/PV10_04869/PV10_05010/PV10_02455/PV10_02642/PV10_03385/PV10_00154</t>
  </si>
  <si>
    <t>ko04137</t>
  </si>
  <si>
    <t>Mitophagy - animal</t>
  </si>
  <si>
    <t>PV10_07946/PV10_08612/PV10_07132/PV10_07904/PV10_05511/PV10_04183/PV10_02455/PV10_00154/PV10_00447/PV10_01659</t>
  </si>
  <si>
    <t>ko04138</t>
  </si>
  <si>
    <t>Autophagy - yeast</t>
  </si>
  <si>
    <t>35/4495</t>
  </si>
  <si>
    <t>70/9975</t>
  </si>
  <si>
    <t>PV10_08980/PV10_09046/PV10_08612/PV10_06869/PV10_07061/PV10_07457/PV10_07581/PV10_07832/PV10_07904/PV10_07911/PV10_05435/PV10_05480/PV10_06009/PV10_06586/PV10_03812/PV10_04183/PV10_04533/PV10_04869/PV10_05010/PV10_05089/PV10_02398/PV10_02455/PV10_02584/PV10_02642/PV10_02708/PV10_02826/PV10_03385/PV10_00154/PV10_00311/PV10_00397/PV10_00437/PV10_00704/PV10_01158/PV10_01691/PV10_01814</t>
  </si>
  <si>
    <t>ko04139</t>
  </si>
  <si>
    <t>Mitophagy - yeast</t>
  </si>
  <si>
    <t>PV10_07946/PV10_08612/PV10_06869/PV10_07132/PV10_07783/PV10_05368/PV10_05500/PV10_04065/PV10_04854/PV10_02642/PV10_03637/PV10_00035/PV10_01851</t>
  </si>
  <si>
    <t>ko04140</t>
  </si>
  <si>
    <t>Autophagy - animal</t>
  </si>
  <si>
    <t>PV10_08612/PV10_06869/PV10_07904/PV10_05594/PV10_06009/PV10_03812/PV10_04037/PV10_04183/PV10_04869/PV10_05010/PV10_02455/PV10_02546/PV10_03385/PV10_00154/PV10_00397</t>
  </si>
  <si>
    <t>ko04141</t>
  </si>
  <si>
    <t>Protein processing in endoplasmic reticulum</t>
  </si>
  <si>
    <t>24/4495</t>
  </si>
  <si>
    <t>72/9975</t>
  </si>
  <si>
    <t>PV10_08670/PV10_08713/PV10_06952/PV10_07150/PV10_07465/PV10_05783/PV10_05893/PV10_05939/PV10_06046/PV10_06160/PV10_06162/PV10_06527/PV10_03686/PV10_03996/PV10_04177/PV10_05190/PV10_05214/PV10_02720/PV10_00114/PV10_00741/PV10_00828/PV10_01105/PV10_01122/PV10_01741</t>
  </si>
  <si>
    <t>ko04142</t>
  </si>
  <si>
    <t>Lysosome</t>
  </si>
  <si>
    <t>32/9975</t>
  </si>
  <si>
    <t>PV10_08629/PV10_05379/PV10_03702/PV10_04628/PV10_05068/PV10_02093/PV10_02286/PV10_02525/PV10_03260/PV10_03266/PV10_00656/PV10_00676/PV10_01379/PV10_01426/PV10_01458/PV10_01843</t>
  </si>
  <si>
    <t>ko04144</t>
  </si>
  <si>
    <t>Endocytosis</t>
  </si>
  <si>
    <t>PV10_08980/PV10_08097/PV10_08541/PV10_08623/PV10_08761/PV10_06830/PV10_06975/PV10_07095/PV10_07434/PV10_07633/PV10_07646/PV10_07911/PV10_05348/PV10_05480/PV10_05666/PV10_06325/PV10_06405/PV10_06586/PV10_03888/PV10_03955/PV10_04063/PV10_04183/PV10_04497/PV10_04740/PV10_04871/PV10_05089/PV10_02093/PV10_02192/PV10_02338/PV10_02398/PV10_02715/PV10_02908/PV10_03201/PV10_03403/PV10_03535/PV10_00346/PV10_00715/PV10_01594/PV10_01636/PV10_01732/PV10_01899</t>
  </si>
  <si>
    <t>ko04145</t>
  </si>
  <si>
    <t>Phagosome</t>
  </si>
  <si>
    <t>PV10_09013/PV10_08040/PV10_08623/PV10_07235/PV10_05379/PV10_05914/PV10_06024/PV10_06046/PV10_06325/PV10_06384/PV10_03702/PV10_03747/PV10_04183/PV10_04628/PV10_04869/PV10_05068/PV10_02004/PV10_02338/PV10_01379/PV10_01521/PV10_01843</t>
  </si>
  <si>
    <t>ko04146</t>
  </si>
  <si>
    <t>Peroxisome</t>
  </si>
  <si>
    <t>29/4495</t>
  </si>
  <si>
    <t>PV10_08095/PV10_08294/PV10_08339/PV10_08473/PV10_08699/PV10_07742/PV10_05593/PV10_06165/PV10_06584/PV10_06603/PV10_06747/PV10_03984/PV10_04025/PV10_04062/PV10_04064/PV10_04271/PV10_04571/PV10_04729/PV10_02046/PV10_02123/PV10_02282/PV10_03180/PV10_03246/PV10_00171/PV10_00384/PV10_00522/PV10_00645/PV10_00934/PV10_01001</t>
  </si>
  <si>
    <t>ko04150</t>
  </si>
  <si>
    <t>mTOR signaling pathway</t>
  </si>
  <si>
    <t>PV10_06869/PV10_07593/PV10_05770/PV10_05939/PV10_06641/PV10_04628/PV10_04818/PV10_02546/PV10_03385/PV10_00397/PV10_01521</t>
  </si>
  <si>
    <t>ko04151</t>
  </si>
  <si>
    <t>PI3K-Akt signaling pathway</t>
  </si>
  <si>
    <t>PV10_09013/PV10_09061/PV10_06869/PV10_07415/PV10_04146/PV10_04818/PV10_02546/PV10_03385/PV10_00397</t>
  </si>
  <si>
    <t>ko04152</t>
  </si>
  <si>
    <t>AMPK signaling pathway</t>
  </si>
  <si>
    <t>PV10_09061/PV10_06869/PV10_07356/PV10_07615/PV10_04146/PV10_04201/PV10_02407/PV10_02546/PV10_03385/PV10_03562/PV10_00397/PV10_00658/PV10_01792</t>
  </si>
  <si>
    <t>ko04210</t>
  </si>
  <si>
    <t>Apoptosis</t>
  </si>
  <si>
    <t>PV10_06384/PV10_02546/PV10_01571</t>
  </si>
  <si>
    <t>ko04211</t>
  </si>
  <si>
    <t>Longevity regulating pathway</t>
  </si>
  <si>
    <t>PV10_08294/PV10_08473/PV10_06869/PV10_07356/PV10_05594/PV10_04201/PV10_04271/PV10_04729/PV10_02407/PV10_02455/PV10_03385/PV10_00397/PV10_00522/PV10_00658</t>
  </si>
  <si>
    <t>ko04212</t>
  </si>
  <si>
    <t>Longevity regulating pathway - worm</t>
  </si>
  <si>
    <t>PV10_09055/PV10_09080/PV10_08157/PV10_08294/PV10_08473/PV10_08550/PV10_08612/PV10_08700/PV10_06869/PV10_06908/PV10_07513/PV10_04271/PV10_04729/PV10_02959/PV10_00522/PV10_00651/PV10_01127/PV10_01398/PV10_01464/PV10_01851</t>
  </si>
  <si>
    <t>ko04213</t>
  </si>
  <si>
    <t>Longevity regulating pathway - multiple species</t>
  </si>
  <si>
    <t>PV10_08294/PV10_08473/PV10_06869/PV10_04271/PV10_04729/PV10_04902/PV10_02455/PV10_02826/PV10_03385/PV10_00397/PV10_00522/PV10_00658/PV10_01366</t>
  </si>
  <si>
    <t>ko04214</t>
  </si>
  <si>
    <t>Apoptosis - fly</t>
  </si>
  <si>
    <t>PV10_07469/PV10_06642/PV10_01571</t>
  </si>
  <si>
    <t>ko04215</t>
  </si>
  <si>
    <t>Apoptosis - multiple species</t>
  </si>
  <si>
    <t>PV10_07904/PV10_01571</t>
  </si>
  <si>
    <t>ko04216</t>
  </si>
  <si>
    <t>Ferroptosis</t>
  </si>
  <si>
    <t>PV10_08283/PV10_07456/PV10_04062/PV10_02455/PV10_01001</t>
  </si>
  <si>
    <t>ko04217</t>
  </si>
  <si>
    <t>Necroptosis</t>
  </si>
  <si>
    <t>PV10_07964/PV10_08097/PV10_08283/PV10_08629/PV10_07434/PV10_06669/PV10_04263/PV10_04497/PV10_04740/PV10_00276/PV10_00335/PV10_00715/PV10_01594</t>
  </si>
  <si>
    <t>ko04218</t>
  </si>
  <si>
    <t>Cellular senescence</t>
  </si>
  <si>
    <t>PV10_07964/PV10_08283/PV10_08911/PV10_06869/PV10_07012/PV10_07469/PV10_05603/PV10_04000/PV10_04293/PV10_04946/PV10_02185/PV10_02293/PV10_02434/PV10_03455/PV10_00124/PV10_00276/PV10_01558/PV10_01851</t>
  </si>
  <si>
    <t>ko04260</t>
  </si>
  <si>
    <t>Cardiac muscle contraction</t>
  </si>
  <si>
    <t>PV10_08526/PV10_03923/PV10_03963/PV10_03037/PV10_01077/PV10_01589/PV10_01769</t>
  </si>
  <si>
    <t>ko04261</t>
  </si>
  <si>
    <t>Adrenergic signaling in cardiomyocytes</t>
  </si>
  <si>
    <t>PV10_09061/PV10_04146/PV10_02434/PV10_01851</t>
  </si>
  <si>
    <t>ko04270</t>
  </si>
  <si>
    <t>Vascular smooth muscle contraction</t>
  </si>
  <si>
    <t>PV10_02434</t>
  </si>
  <si>
    <t>ko04310</t>
  </si>
  <si>
    <t>Wnt signaling pathway</t>
  </si>
  <si>
    <t>PV10_09013/PV10_07946/PV10_08911/PV10_07132/PV10_05783/PV10_06160/PV10_04293/PV10_01558</t>
  </si>
  <si>
    <t>ko04320</t>
  </si>
  <si>
    <t>Dorso-ventral axis formation</t>
  </si>
  <si>
    <t>PV10_04818</t>
  </si>
  <si>
    <t>ko04340</t>
  </si>
  <si>
    <t>Hedgehog signaling pathway</t>
  </si>
  <si>
    <t>PV10_08911/PV10_06684/PV10_01558</t>
  </si>
  <si>
    <t>ko04341</t>
  </si>
  <si>
    <t>Hedgehog signaling pathway - fly</t>
  </si>
  <si>
    <t>PV10_08911/PV10_05783/PV10_06160/PV10_06684/PV10_01558</t>
  </si>
  <si>
    <t>ko04350</t>
  </si>
  <si>
    <t>TGF-beta signaling pathway</t>
  </si>
  <si>
    <t>PV10_09061/PV10_05783/PV10_06160</t>
  </si>
  <si>
    <t>ko04360</t>
  </si>
  <si>
    <t>Axon guidance</t>
  </si>
  <si>
    <t>PV10_09013/PV10_04293/PV10_02546</t>
  </si>
  <si>
    <t>ko04361</t>
  </si>
  <si>
    <t>Axon regeneration</t>
  </si>
  <si>
    <t>PV10_09013/PV10_06869/PV10_07694/PV10_05574/PV10_03653/PV10_00397/PV10_01851</t>
  </si>
  <si>
    <t>ko04370</t>
  </si>
  <si>
    <t>VEGF signaling pathway</t>
  </si>
  <si>
    <t>PV10_09013/PV10_04293/PV10_01851</t>
  </si>
  <si>
    <t>ko04371</t>
  </si>
  <si>
    <t>Apelin signaling pathway</t>
  </si>
  <si>
    <t>PV10_06869/PV10_07904/PV10_03812/PV10_04869/PV10_00397/PV10_00658</t>
  </si>
  <si>
    <t>ko04380</t>
  </si>
  <si>
    <t>Osteoclast differentiation</t>
  </si>
  <si>
    <t>ko04390</t>
  </si>
  <si>
    <t>Hippo signaling pathway</t>
  </si>
  <si>
    <t>PV10_09061/PV10_08911/PV10_02434/PV10_01558</t>
  </si>
  <si>
    <t>ko04391</t>
  </si>
  <si>
    <t>Hippo signaling pathway - fly</t>
  </si>
  <si>
    <t>PV10_09061</t>
  </si>
  <si>
    <t>ko04392</t>
  </si>
  <si>
    <t>Hippo signaling pathway - multiple species</t>
  </si>
  <si>
    <t>PV10_08343/PV10_05077</t>
  </si>
  <si>
    <t>ko04510</t>
  </si>
  <si>
    <t>Focal adhesion</t>
  </si>
  <si>
    <t>PV10_09013/PV10_04818/PV10_02434/PV10_02546</t>
  </si>
  <si>
    <t>ko04520</t>
  </si>
  <si>
    <t>Adherens junction</t>
  </si>
  <si>
    <t>PV10_09013/PV10_07946/PV10_07132/PV10_05348</t>
  </si>
  <si>
    <t>ko04530</t>
  </si>
  <si>
    <t>Tight junction</t>
  </si>
  <si>
    <t>PV10_08980/PV10_09013/PV10_09061/PV10_07911/PV10_05480/PV10_06384/PV10_06586/PV10_05089/PV10_02398/PV10_00397/PV10_00658/PV10_01305</t>
  </si>
  <si>
    <t>ko04540</t>
  </si>
  <si>
    <t>Gap junction</t>
  </si>
  <si>
    <t>PV10_08040/PV10_06384/PV10_04818</t>
  </si>
  <si>
    <t>ko04550</t>
  </si>
  <si>
    <t>Signaling pathways regulating pluripotency of stem cells</t>
  </si>
  <si>
    <t>PV10_01851</t>
  </si>
  <si>
    <t>ko04611</t>
  </si>
  <si>
    <t>Platelet activation</t>
  </si>
  <si>
    <t>PV10_02434/PV10_01851</t>
  </si>
  <si>
    <t>ko04612</t>
  </si>
  <si>
    <t>Antigen processing and presentation</t>
  </si>
  <si>
    <t>PV10_07253/PV10_06645</t>
  </si>
  <si>
    <t>ko04613</t>
  </si>
  <si>
    <t>Neutrophil extracellular trap formation</t>
  </si>
  <si>
    <t>PV10_09013/PV10_07964/PV10_08283/PV10_06869/PV10_07195/PV10_06561/PV10_04263/PV10_04709/PV10_02628/PV10_00334/PV10_00335/PV10_01851</t>
  </si>
  <si>
    <t>ko04620</t>
  </si>
  <si>
    <t>Toll-like receptor signaling pathway</t>
  </si>
  <si>
    <t>PV10_09013/PV10_01851</t>
  </si>
  <si>
    <t>ko04621</t>
  </si>
  <si>
    <t>NOD-like receptor signaling pathway</t>
  </si>
  <si>
    <t>PV10_08283/PV10_08612/PV10_02455/PV10_00124/PV10_01851</t>
  </si>
  <si>
    <t>ko04622</t>
  </si>
  <si>
    <t>RIG-I-like receptor signaling pathway</t>
  </si>
  <si>
    <t>PV10_06725/PV10_02455/PV10_03067/PV10_01851</t>
  </si>
  <si>
    <t>ko04623</t>
  </si>
  <si>
    <t>Cytosolic DNA-sensing pathway</t>
  </si>
  <si>
    <t>PV10_06381/PV10_04135</t>
  </si>
  <si>
    <t>ko04624</t>
  </si>
  <si>
    <t>Toll and Imd signaling pathway</t>
  </si>
  <si>
    <t>PV10_08911/PV10_05768/PV10_01558/PV10_01851</t>
  </si>
  <si>
    <t>ko04625</t>
  </si>
  <si>
    <t>C-type lectin receptor signaling pathway</t>
  </si>
  <si>
    <t>PV10_04293/PV10_01851</t>
  </si>
  <si>
    <t>ko04626</t>
  </si>
  <si>
    <t>Plant-pathogen interaction</t>
  </si>
  <si>
    <t>PV10_04674/PV10_01766</t>
  </si>
  <si>
    <t>ko04630</t>
  </si>
  <si>
    <t>JAK-STAT signaling pathway</t>
  </si>
  <si>
    <t>PV10_06869/PV10_07633/PV10_04818</t>
  </si>
  <si>
    <t>ko04650</t>
  </si>
  <si>
    <t>Natural killer cell mediated cytotoxicity</t>
  </si>
  <si>
    <t>PV10_09013/PV10_04293/PV10_04818</t>
  </si>
  <si>
    <t>ko04657</t>
  </si>
  <si>
    <t>IL-17 signaling pathway</t>
  </si>
  <si>
    <t>ko04658</t>
  </si>
  <si>
    <t>Th1 and Th2 cell differentiation</t>
  </si>
  <si>
    <t>ko04659</t>
  </si>
  <si>
    <t>Th17 cell differentiation</t>
  </si>
  <si>
    <t>PV10_06869/PV10_04293/PV10_01851</t>
  </si>
  <si>
    <t>ko04660</t>
  </si>
  <si>
    <t>T cell receptor signaling pathway</t>
  </si>
  <si>
    <t>PV10_04293/PV10_04818/PV10_02546/PV10_01851</t>
  </si>
  <si>
    <t>ko04662</t>
  </si>
  <si>
    <t>B cell receptor signaling pathway</t>
  </si>
  <si>
    <t>ko04664</t>
  </si>
  <si>
    <t>Fc epsilon RI signaling pathway</t>
  </si>
  <si>
    <t>PV10_09013/PV10_04818/PV10_02546/PV10_01851</t>
  </si>
  <si>
    <t>ko04666</t>
  </si>
  <si>
    <t>Fc gamma R-mediated phagocytosis</t>
  </si>
  <si>
    <t>PV10_08980/PV10_09013/PV10_07911/PV10_05480/PV10_06586/PV10_05089/PV10_02192/PV10_02398/PV10_00346</t>
  </si>
  <si>
    <t>ko04668</t>
  </si>
  <si>
    <t>TNF signaling pathway</t>
  </si>
  <si>
    <t>ko04670</t>
  </si>
  <si>
    <t>Leukocyte transendothelial migration</t>
  </si>
  <si>
    <t>ko04710</t>
  </si>
  <si>
    <t>Circadian rhythm</t>
  </si>
  <si>
    <t>PV10_08911/PV10_05783/PV10_06160/PV10_00397/PV10_00658/PV10_01558</t>
  </si>
  <si>
    <t>ko04712</t>
  </si>
  <si>
    <t>Circadian rhythm - plant</t>
  </si>
  <si>
    <t>PV10_07946/PV10_07132</t>
  </si>
  <si>
    <t>ko04714</t>
  </si>
  <si>
    <t>Thermogenesis</t>
  </si>
  <si>
    <t>37/4495</t>
  </si>
  <si>
    <t>PV10_08050/PV10_08178/PV10_08526/PV10_08594/PV10_08949/PV10_06869/PV10_07085/PV10_07128/PV10_07348/PV10_07641/PV10_07873/PV10_05556/PV10_05737/PV10_06810/PV10_03923/PV10_03963/PV10_04062/PV10_04818/PV10_02717/PV10_03037/PV10_03045/PV10_03139/PV10_03152/PV10_03385/PV10_00253/PV10_00300/PV10_00336/PV10_00397/PV10_00481/PV10_00658/PV10_01001/PV10_01077/PV10_01169/PV10_01428/PV10_01589/PV10_01769/PV10_01851</t>
  </si>
  <si>
    <t>ko04720</t>
  </si>
  <si>
    <t>Long-term potentiation</t>
  </si>
  <si>
    <t>PV10_04293/PV10_02434</t>
  </si>
  <si>
    <t>ko04721</t>
  </si>
  <si>
    <t>Synaptic vesicle cycle</t>
  </si>
  <si>
    <t>PV10_05379/PV10_05599/PV10_05666/PV10_03702/PV10_04628/PV10_05068/PV10_02093/PV10_02584/PV10_01379/PV10_01521/PV10_01691/PV10_01843</t>
  </si>
  <si>
    <t>ko04722</t>
  </si>
  <si>
    <t>Neurotrophin signaling pathway</t>
  </si>
  <si>
    <t>PV10_09013/PV10_04818/PV10_02546/PV10_03266/PV10_01851</t>
  </si>
  <si>
    <t>ko04723</t>
  </si>
  <si>
    <t>Retrograde endocannabinoid signaling</t>
  </si>
  <si>
    <t>PV10_08178/PV10_08949/PV10_07873/PV10_05556/PV10_05599/PV10_02607/PV10_03653/PV10_00050/PV10_00253/PV10_00300/PV10_00336/PV10_01851</t>
  </si>
  <si>
    <t>ko04724</t>
  </si>
  <si>
    <t>Glutamatergic synapse</t>
  </si>
  <si>
    <t>PV10_06669/PV10_04293/PV10_00346</t>
  </si>
  <si>
    <t>ko04726</t>
  </si>
  <si>
    <t>Serotonergic synapse</t>
  </si>
  <si>
    <t>PV10_07404/PV10_07694/PV10_07708/PV10_05590</t>
  </si>
  <si>
    <t>ko04727</t>
  </si>
  <si>
    <t>GABAergic synapse</t>
  </si>
  <si>
    <t>PV10_08612/PV10_05599/PV10_05730/PV10_05772/PV10_06470/PV10_06669/PV10_05065/PV10_02584/PV10_00583</t>
  </si>
  <si>
    <t>ko04728</t>
  </si>
  <si>
    <t>Dopaminergic synapse</t>
  </si>
  <si>
    <t>PV10_09061/PV10_07404/PV10_07694/PV10_07708/PV10_05590/PV10_04146/PV10_04293/PV10_02434/PV10_02908/PV10_01851</t>
  </si>
  <si>
    <t>ko04730</t>
  </si>
  <si>
    <t>Long-term depression</t>
  </si>
  <si>
    <t>ko04750</t>
  </si>
  <si>
    <t>Inflammatory mediator regulation of TRP channels</t>
  </si>
  <si>
    <t>ko04810</t>
  </si>
  <si>
    <t>Regulation of actin cytoskeleton</t>
  </si>
  <si>
    <t>PV10_08980/PV10_09013/PV10_07659/PV10_07911/PV10_05348/PV10_05480/PV10_06586/PV10_04818/PV10_05089/PV10_02004/PV10_02398/PV10_02434</t>
  </si>
  <si>
    <t>ko04814</t>
  </si>
  <si>
    <t>Motor proteins</t>
  </si>
  <si>
    <t>PV10_08981/PV10_08040/PV10_05527/PV10_05914/PV10_06262/PV10_06268/PV10_06384/PV10_03747/PV10_04063/PV10_02908/PV10_03062/PV10_00192/PV10_01387/PV10_01753</t>
  </si>
  <si>
    <t>ko04910</t>
  </si>
  <si>
    <t>Insulin signaling pathway</t>
  </si>
  <si>
    <t>PV10_06869/PV10_07205/PV10_07615/PV10_04818/PV10_02434/PV10_02546/PV10_03211/PV10_03385/PV10_00397/PV10_00658/PV10_01792</t>
  </si>
  <si>
    <t>ko04912</t>
  </si>
  <si>
    <t>GnRH signaling pathway</t>
  </si>
  <si>
    <t>PV10_04818/PV10_00346/PV10_01851</t>
  </si>
  <si>
    <t>ko04914</t>
  </si>
  <si>
    <t>Progesterone-mediated oocyte maturation</t>
  </si>
  <si>
    <t>PV10_08767/PV10_03982/PV10_04344/PV10_00104/PV10_01851</t>
  </si>
  <si>
    <t>ko04915</t>
  </si>
  <si>
    <t>Estrogen signaling pathway</t>
  </si>
  <si>
    <t>ko04917</t>
  </si>
  <si>
    <t>Prolactin signaling pathway</t>
  </si>
  <si>
    <t>PV10_04818/PV10_01851</t>
  </si>
  <si>
    <t>ko04918</t>
  </si>
  <si>
    <t>Thyroid hormone synthesis</t>
  </si>
  <si>
    <t>PV10_03699</t>
  </si>
  <si>
    <t>ko04919</t>
  </si>
  <si>
    <t>Thyroid hormone signaling pathway</t>
  </si>
  <si>
    <t>PV10_06869/PV10_02546</t>
  </si>
  <si>
    <t>ko04920</t>
  </si>
  <si>
    <t>Adipocytokine signaling pathway</t>
  </si>
  <si>
    <t>PV10_06869/PV10_07356/PV10_04062/PV10_04201/PV10_02407/PV10_00397/PV10_00658/PV10_01001</t>
  </si>
  <si>
    <t>ko04921</t>
  </si>
  <si>
    <t>Oxytocin signaling pathway</t>
  </si>
  <si>
    <t>PV10_04293/PV10_02434/PV10_00397/PV10_00658</t>
  </si>
  <si>
    <t>ko04922</t>
  </si>
  <si>
    <t>Glucagon signaling pathway</t>
  </si>
  <si>
    <t>PV10_09080/PV10_07615/PV10_04293/PV10_00397/PV10_00658/PV10_01792</t>
  </si>
  <si>
    <t>ko04924</t>
  </si>
  <si>
    <t>Renin secretion</t>
  </si>
  <si>
    <t>PV10_04293</t>
  </si>
  <si>
    <t>ko04926</t>
  </si>
  <si>
    <t>Relaxin signaling pathway</t>
  </si>
  <si>
    <t>ko04928</t>
  </si>
  <si>
    <t>Parathyroid hormone synthesis, secretion and action</t>
  </si>
  <si>
    <t>PV10_00346/PV10_01872</t>
  </si>
  <si>
    <t>ko04935</t>
  </si>
  <si>
    <t>Growth hormone synthesis, secretion and action</t>
  </si>
  <si>
    <t>PV10_06869/PV10_04818/PV10_01851</t>
  </si>
  <si>
    <t>ko04960</t>
  </si>
  <si>
    <t>Aldosterone-regulated sodium reabsorption</t>
  </si>
  <si>
    <t>PV10_02546</t>
  </si>
  <si>
    <t>ko04961</t>
  </si>
  <si>
    <t>Endocrine and other factor-regulated calcium reabsorption</t>
  </si>
  <si>
    <t>PV10_05666/PV10_03888/PV10_02093</t>
  </si>
  <si>
    <t>ko04962</t>
  </si>
  <si>
    <t>Vasopressin-regulated water reabsorption</t>
  </si>
  <si>
    <t>PV10_08981/PV10_08623/PV10_05914/PV10_03747/PV10_03888/PV10_02338/PV10_02584/PV10_01753</t>
  </si>
  <si>
    <t>ko04966</t>
  </si>
  <si>
    <t>Collecting duct acid secretion</t>
  </si>
  <si>
    <t>PV10_05379/PV10_03702/PV10_01379/PV10_01521/PV10_01843</t>
  </si>
  <si>
    <t>ko04970</t>
  </si>
  <si>
    <t>Salivary secretion</t>
  </si>
  <si>
    <t>PV10_03679</t>
  </si>
  <si>
    <t>ko04972</t>
  </si>
  <si>
    <t>Pancreatic secretion</t>
  </si>
  <si>
    <t>PV10_09013/PV10_03679/PV10_03888</t>
  </si>
  <si>
    <t>ko04973</t>
  </si>
  <si>
    <t>Carbohydrate digestion and absorption</t>
  </si>
  <si>
    <t>PV10_07205/PV10_03679</t>
  </si>
  <si>
    <t>ko04974</t>
  </si>
  <si>
    <t>Protein digestion and absorption</t>
  </si>
  <si>
    <t>PV10_02708</t>
  </si>
  <si>
    <t>ko04975</t>
  </si>
  <si>
    <t>Fat digestion and absorption</t>
  </si>
  <si>
    <t>PV10_07417/PV10_02913/PV10_00934</t>
  </si>
  <si>
    <t>ko04976</t>
  </si>
  <si>
    <t>Bile secretion</t>
  </si>
  <si>
    <t>PV10_07626/PV10_06176/PV10_02114/PV10_02154/PV10_03562/PV10_01877</t>
  </si>
  <si>
    <t>ko04978</t>
  </si>
  <si>
    <t>Mineral absorption</t>
  </si>
  <si>
    <t>PV10_08296/PV10_07165/PV10_07210/PV10_05324/PV10_02761/PV10_03639</t>
  </si>
  <si>
    <t>ko04979</t>
  </si>
  <si>
    <t>Cholesterol metabolism</t>
  </si>
  <si>
    <t>PV10_08283/PV10_06642/PV10_03266</t>
  </si>
  <si>
    <t>125/9975</t>
  </si>
  <si>
    <t>PV10_09185/PV10_07946/PV10_07964/PV10_08040/PV10_08055/PV10_08178/PV10_08283/PV10_08526/PV10_08949/PV10_06829/PV10_06869/PV10_06891/PV10_07101/PV10_07128/PV10_07132/PV10_07260/PV10_07541/PV10_07726/PV10_07873/PV10_07900/PV10_07904/PV10_05556/PV10_05594/PV10_05622/PV10_05899/PV10_06384/PV10_06559/PV10_06664/PV10_06810/PV10_03812/PV10_03923/PV10_03963/PV10_04269/PV10_04293/PV10_04858/PV10_04869/PV10_04889/PV10_04895/PV10_04976/PV10_05010/PV10_05110/PV10_02070/PV10_02120/PV10_02199/PV10_02236/PV10_02330/PV10_02368/PV10_02444/PV10_02569/PV10_02676/PV10_02908/PV10_02975/PV10_03023/PV10_03037/PV10_03045/PV10_03152/PV10_00095/PV10_00120/PV10_00124/PV10_00239/PV10_00253/PV10_00276/PV10_00300/PV10_00336/PV10_00481/PV10_00605/PV10_00847/PV10_00892/PV10_01077/PV10_01371/PV10_01571/PV10_01589/PV10_01769</t>
  </si>
  <si>
    <t>PV10_09185/PV10_07964/PV10_08040/PV10_08055/PV10_08178/PV10_08283/PV10_08526/PV10_08949/PV10_06829/PV10_06891/PV10_07101/PV10_07128/PV10_07260/PV10_07404/PV10_07541/PV10_07708/PV10_07726/PV10_07873/PV10_07900/PV10_05556/PV10_05590/PV10_05622/PV10_05899/PV10_06384/PV10_06559/PV10_06664/PV10_06810/PV10_03923/PV10_03963/PV10_04269/PV10_04636/PV10_04858/PV10_05110/PV10_02070/PV10_02120/PV10_02199/PV10_02236/PV10_02330/PV10_02368/PV10_02444/PV10_02569/PV10_02676/PV10_02720/PV10_02908/PV10_02975/PV10_03023/PV10_03037/PV10_03045/PV10_03152/PV10_00095/PV10_00120/PV10_00124/PV10_00239/PV10_00253/PV10_00300/PV10_00336/PV10_00481/PV10_00605/PV10_00847/PV10_00892/PV10_01077/PV10_01371/PV10_01571/PV10_01589/PV10_01659/PV10_01769</t>
  </si>
  <si>
    <t>ko05014</t>
  </si>
  <si>
    <t>Amyotrophic lateral sclerosis</t>
  </si>
  <si>
    <t>90/4495</t>
  </si>
  <si>
    <t>144/9975</t>
  </si>
  <si>
    <t>PV10_09185/PV10_09190/PV10_08981/PV10_09013/PV10_08034/PV10_08040/PV10_08055/PV10_08178/PV10_08306/PV10_08458/PV10_08473/PV10_08524/PV10_08526/PV10_08949/PV10_06829/PV10_06869/PV10_06891/PV10_07128/PV10_07260/PV10_07349/PV10_07659/PV10_07726/PV10_07873/PV10_07900/PV10_07904/PV10_05390/PV10_05556/PV10_05594/PV10_05622/PV10_05899/PV10_05939/PV10_05962/PV10_06384/PV10_06664/PV10_06697/PV10_06810/PV10_03699/PV10_03770/PV10_03812/PV10_03923/PV10_03963/PV10_04037/PV10_04269/PV10_04271/PV10_04293/PV10_04472/PV10_04729/PV10_04858/PV10_04869/PV10_05010/PV10_05110/PV10_05190/PV10_02070/PV10_02120/PV10_02236/PV10_02330/PV10_02368/PV10_02444/PV10_02676/PV10_02908/PV10_02975/PV10_03023/PV10_03037/PV10_03045/PV10_03152/PV10_03357/PV10_00095/PV10_00120/PV10_00124/PV10_00192/PV10_00239/PV10_00253/PV10_00300/PV10_00336/PV10_00481/PV10_00522/PV10_00605/PV10_00608/PV10_00847/PV10_00892/PV10_01077/PV10_01296/PV10_01371/PV10_01571/PV10_01589/PV10_01597/PV10_01753/PV10_01769/PV10_01839/PV10_01851</t>
  </si>
  <si>
    <t>ko05016</t>
  </si>
  <si>
    <t>Huntington disease</t>
  </si>
  <si>
    <t>72/4495</t>
  </si>
  <si>
    <t>PV10_09185/PV10_08981/PV10_07964/PV10_08040/PV10_08055/PV10_08178/PV10_08283/PV10_08294/PV10_08526/PV10_08949/PV10_06829/PV10_06869/PV10_06891/PV10_07107/PV10_07128/PV10_07260/PV10_07726/PV10_07873/PV10_07900/PV10_07904/PV10_05556/PV10_05594/PV10_05622/PV10_05666/PV10_05899/PV10_06384/PV10_06664/PV10_06724/PV10_06810/PV10_03699/PV10_03812/PV10_03923/PV10_03963/PV10_04269/PV10_04858/PV10_04869/PV10_05010/PV10_05110/PV10_02070/PV10_02093/PV10_02120/PV10_02236/PV10_02330/PV10_02368/PV10_02444/PV10_02676/PV10_02908/PV10_02975/PV10_03006/PV10_03023/PV10_03037/PV10_03045/PV10_03152/PV10_03478/PV10_00095/PV10_00120/PV10_00192/PV10_00239/PV10_00253/PV10_00300/PV10_00336/PV10_00481/PV10_00605/PV10_00847/PV10_00892/PV10_01077/PV10_01351/PV10_01371/PV10_01571/PV10_01589/PV10_01753/PV10_01769</t>
  </si>
  <si>
    <t>ko05017</t>
  </si>
  <si>
    <t>Spinocerebellar ataxia</t>
  </si>
  <si>
    <t>46/4495</t>
  </si>
  <si>
    <t>60/9975</t>
  </si>
  <si>
    <t>PV10_09185/PV10_07964/PV10_08055/PV10_08283/PV10_06829/PV10_06869/PV10_06891/PV10_07260/PV10_07422/PV10_07726/PV10_07900/PV10_07904/PV10_05328/PV10_05594/PV10_05622/PV10_05722/PV10_05899/PV10_06645/PV10_06664/PV10_03812/PV10_04097/PV10_04269/PV10_04600/PV10_04858/PV10_04869/PV10_05010/PV10_05110/PV10_02070/PV10_02120/PV10_02236/PV10_02330/PV10_02368/PV10_02444/PV10_02676/PV10_02975/PV10_03023/PV10_00095/PV10_00120/PV10_00124/PV10_00239/PV10_00605/PV10_00847/PV10_00892/PV10_01351/PV10_01371/PV10_01571</t>
  </si>
  <si>
    <t>ko05020</t>
  </si>
  <si>
    <t>Prion disease</t>
  </si>
  <si>
    <t>106/9975</t>
  </si>
  <si>
    <t>PV10_09185/PV10_09013/PV10_07946/PV10_07964/PV10_08040/PV10_08055/PV10_08178/PV10_08283/PV10_08526/PV10_08949/PV10_06829/PV10_06891/PV10_07128/PV10_07132/PV10_07260/PV10_07726/PV10_07873/PV10_07900/PV10_05556/PV10_05622/PV10_05899/PV10_06384/PV10_06664/PV10_06810/PV10_03923/PV10_03963/PV10_04269/PV10_04293/PV10_04858/PV10_05110/PV10_02070/PV10_02120/PV10_02236/PV10_02330/PV10_02368/PV10_02444/PV10_02676/PV10_02908/PV10_02975/PV10_03023/PV10_03037/PV10_03045/PV10_03152/PV10_00095/PV10_00120/PV10_00124/PV10_00239/PV10_00253/PV10_00300/PV10_00336/PV10_00481/PV10_00605/PV10_00847/PV10_00892/PV10_01077/PV10_01371/PV10_01571/PV10_01589/PV10_01769/PV10_01851</t>
  </si>
  <si>
    <t>ko05022</t>
  </si>
  <si>
    <t>Pathways of neurodegeneration - multiple diseases</t>
  </si>
  <si>
    <t>82/4495</t>
  </si>
  <si>
    <t>142/9975</t>
  </si>
  <si>
    <t>PV10_09185/PV10_08981/PV10_09013/PV10_07946/PV10_07964/PV10_08040/PV10_08055/PV10_08178/PV10_08283/PV10_08473/PV10_08526/PV10_08949/PV10_06829/PV10_06869/PV10_06891/PV10_07128/PV10_07132/PV10_07260/PV10_07726/PV10_07873/PV10_07900/PV10_07904/PV10_05556/PV10_05594/PV10_05622/PV10_05899/PV10_06384/PV10_06664/PV10_06810/PV10_03699/PV10_03770/PV10_03812/PV10_03923/PV10_03963/PV10_04037/PV10_04269/PV10_04271/PV10_04293/PV10_04636/PV10_04729/PV10_04858/PV10_04869/PV10_05010/PV10_05110/PV10_05190/PV10_02070/PV10_02120/PV10_02236/PV10_02330/PV10_02368/PV10_02444/PV10_02676/PV10_02720/PV10_02908/PV10_02975/PV10_03023/PV10_03037/PV10_03045/PV10_03152/PV10_00095/PV10_00120/PV10_00124/PV10_00192/PV10_00239/PV10_00253/PV10_00276/PV10_00300/PV10_00336/PV10_00481/PV10_00522/PV10_00605/PV10_00847/PV10_00892/PV10_01077/PV10_01296/PV10_01371/PV10_01571/PV10_01589/PV10_01659/PV10_01753/PV10_01769/PV10_01851</t>
  </si>
  <si>
    <t>ko05030</t>
  </si>
  <si>
    <t>Cocaine addiction</t>
  </si>
  <si>
    <t>ko05031</t>
  </si>
  <si>
    <t>Amphetamine addiction</t>
  </si>
  <si>
    <t>PV10_07404/PV10_07694/PV10_07708/PV10_05590/PV10_04293/PV10_02434</t>
  </si>
  <si>
    <t>ko05032</t>
  </si>
  <si>
    <t>Morphine addiction</t>
  </si>
  <si>
    <t>PV10_05599</t>
  </si>
  <si>
    <t>ko05033</t>
  </si>
  <si>
    <t>Nicotine addiction</t>
  </si>
  <si>
    <t>ko05034</t>
  </si>
  <si>
    <t>Alcoholism</t>
  </si>
  <si>
    <t>PV10_07404/PV10_07694/PV10_07708/PV10_05590/PV10_04263/PV10_04818/PV10_02434/PV10_02628/PV10_00334/PV10_00335</t>
  </si>
  <si>
    <t>ko05100</t>
  </si>
  <si>
    <t>Bacterial invasion of epithelial cells</t>
  </si>
  <si>
    <t>PV10_08980/PV10_09013/PV10_07911/PV10_05348/PV10_05480/PV10_06586/PV10_05089/PV10_02093/PV10_02398</t>
  </si>
  <si>
    <t>ko05110</t>
  </si>
  <si>
    <t>Vibrio cholerae infection</t>
  </si>
  <si>
    <t>PV10_05379/PV10_06046/PV10_03702/PV10_04628/PV10_05068/PV10_01379/PV10_01521/PV10_01843</t>
  </si>
  <si>
    <t>ko05120</t>
  </si>
  <si>
    <t>Epithelial cell signaling in Helicobacter pylori infection</t>
  </si>
  <si>
    <t>PV10_09013/PV10_05379/PV10_03702/PV10_04628/PV10_05068/PV10_01379/PV10_01521/PV10_01843/PV10_01851</t>
  </si>
  <si>
    <t>ko05130</t>
  </si>
  <si>
    <t>Pathogenic Escherichia coli infection</t>
  </si>
  <si>
    <t>PV10_08980/PV10_09013/PV10_09063/PV10_08040/PV10_07911/PV10_05348/PV10_05480/PV10_05527/PV10_06262/PV10_06384/PV10_06586/PV10_04037/PV10_04895/PV10_05089/PV10_02398/PV10_00114/PV10_00242/PV10_01522/PV10_01571/PV10_01851</t>
  </si>
  <si>
    <t>ko05131</t>
  </si>
  <si>
    <t>Shigellosis</t>
  </si>
  <si>
    <t>47/9975</t>
  </si>
  <si>
    <t>PV10_08980/PV10_09013/PV10_08911/PV10_06869/PV10_07205/PV10_07659/PV10_07904/PV10_07911/PV10_05348/PV10_05480/PV10_05768/PV10_05783/PV10_06160/PV10_06586/PV10_03812/PV10_04869/PV10_05010/PV10_05089/PV10_02398/PV10_02455/PV10_02628/PV10_03385/PV10_00276/PV10_01558/PV10_01571/PV10_01659/PV10_01851</t>
  </si>
  <si>
    <t>ko05132</t>
  </si>
  <si>
    <t>Salmonella infection</t>
  </si>
  <si>
    <t>52/9975</t>
  </si>
  <si>
    <t>PV10_08980/PV10_08981/PV10_09013/PV10_09063/PV10_08040/PV10_08623/PV10_07581/PV10_07659/PV10_07911/PV10_05348/PV10_05480/PV10_05914/PV10_06160/PV10_06384/PV10_06586/PV10_03747/PV10_04150/PV10_04183/PV10_04533/PV10_04869/PV10_04895/PV10_05089/PV10_02338/PV10_02398/PV10_02908/PV10_00192/PV10_00437/PV10_01571/PV10_01604/PV10_01753/PV10_01851</t>
  </si>
  <si>
    <t>ko05133</t>
  </si>
  <si>
    <t>Pertussis</t>
  </si>
  <si>
    <t>ko05134</t>
  </si>
  <si>
    <t>Legionellosis</t>
  </si>
  <si>
    <t>PV10_06024/PV10_06330/PV10_04037/PV10_05190/PV10_03152/PV10_01571</t>
  </si>
  <si>
    <t>ko05135</t>
  </si>
  <si>
    <t>Yersinia infection</t>
  </si>
  <si>
    <t>PV10_08980/PV10_09013/PV10_07911/PV10_05348/PV10_05480/PV10_06586/PV10_05089/PV10_02398/PV10_01851</t>
  </si>
  <si>
    <t>ko05140</t>
  </si>
  <si>
    <t>Leishmaniasis</t>
  </si>
  <si>
    <t>ko05142</t>
  </si>
  <si>
    <t>Chagas disease</t>
  </si>
  <si>
    <t>PV10_09061/PV10_01851</t>
  </si>
  <si>
    <t>ko05143</t>
  </si>
  <si>
    <t>African trypanosomiasis</t>
  </si>
  <si>
    <t>PV10_03584/PV10_00949</t>
  </si>
  <si>
    <t>ko05145</t>
  </si>
  <si>
    <t>Toxoplasmosis</t>
  </si>
  <si>
    <t>PV10_02546/PV10_01571/PV10_01851</t>
  </si>
  <si>
    <t>ko05146</t>
  </si>
  <si>
    <t>Amoebiasis</t>
  </si>
  <si>
    <t>PV10_08623/PV10_04183/PV10_02338/PV10_00568</t>
  </si>
  <si>
    <t>ko05152</t>
  </si>
  <si>
    <t>Tuberculosis</t>
  </si>
  <si>
    <t>PV10_08623/PV10_07253/PV10_05379/PV10_06645/PV10_03702/PV10_04183/PV10_04293/PV10_04628/PV10_04869/PV10_05068/PV10_02338/PV10_01379/PV10_01398/PV10_01571/PV10_01843/PV10_01851</t>
  </si>
  <si>
    <t>ko05160</t>
  </si>
  <si>
    <t>Hepatitis C</t>
  </si>
  <si>
    <t>PV10_09061/PV10_04818/PV10_01571</t>
  </si>
  <si>
    <t>ko05161</t>
  </si>
  <si>
    <t>Hepatitis B</t>
  </si>
  <si>
    <t>PV10_04818/PV10_04949/PV10_03067/PV10_01305/PV10_01571/PV10_01851</t>
  </si>
  <si>
    <t>ko05162</t>
  </si>
  <si>
    <t>Measles</t>
  </si>
  <si>
    <t>PV10_07946/PV10_07132/PV10_04241/PV10_01571</t>
  </si>
  <si>
    <t>ko05163</t>
  </si>
  <si>
    <t>Human cytomegalovirus infection</t>
  </si>
  <si>
    <t>PV10_09013/PV10_06869/PV10_04293/PV10_04818/PV10_01571/PV10_01851</t>
  </si>
  <si>
    <t>ko05164</t>
  </si>
  <si>
    <t>Influenza A</t>
  </si>
  <si>
    <t>PV10_07964/PV10_08364/PV10_03888/PV10_05121/PV10_03357/PV10_01518/PV10_01571/PV10_01839</t>
  </si>
  <si>
    <t>PV10_09061/PV10_06869/PV10_07469/PV10_05379/PV10_05899/PV10_03702/PV10_04146/PV10_04628/PV10_04818/PV10_05068/PV10_01122/PV10_01351/PV10_01379/PV10_01387/PV10_01521/PV10_01843</t>
  </si>
  <si>
    <t>PV10_07964/PV10_08283/PV10_06980/PV10_07119/PV10_07253/PV10_07469/PV10_06642/PV10_03982/PV10_04145/PV10_04191/PV10_04293/PV10_04344/PV10_04600/PV10_02293/PV10_00104/PV10_00846/PV10_01351/PV10_01518</t>
  </si>
  <si>
    <t>ko05167</t>
  </si>
  <si>
    <t>Kaposi sarcoma-associated herpesvirus infection</t>
  </si>
  <si>
    <t>PV10_09013/PV10_06869/PV10_07904/PV10_06009/PV10_04293/PV10_04869/PV10_01571/PV10_01659/PV10_01851</t>
  </si>
  <si>
    <t>PV10_06869/PV10_05962/PV10_02434/PV10_01571</t>
  </si>
  <si>
    <t>ko05169</t>
  </si>
  <si>
    <t>Epstein-Barr virus infection</t>
  </si>
  <si>
    <t>PV10_09185/PV10_09013/PV10_08055/PV10_06829/PV10_07260/PV10_05899/PV10_06615/PV10_06664/PV10_04858/PV10_05110/PV10_02070/PV10_02403/PV10_02444/PV10_02676/PV10_00095/PV10_00120/PV10_00239/PV10_00605/PV10_01371/PV10_01571/PV10_01851</t>
  </si>
  <si>
    <t>ko05170</t>
  </si>
  <si>
    <t>Human immunodeficiency virus 1 infection</t>
  </si>
  <si>
    <t>PV10_09013/PV10_08911/PV10_06869/PV10_07469/PV10_05783/PV10_06160/PV10_04293/PV10_04578/PV10_04949/PV10_01558/PV10_01571/PV10_01851</t>
  </si>
  <si>
    <t>ko05171</t>
  </si>
  <si>
    <t>Coronavirus disease - COVID-19</t>
  </si>
  <si>
    <t>50/4495</t>
  </si>
  <si>
    <t>75/9975</t>
  </si>
  <si>
    <t>PV10_08983/PV10_09063/PV10_08022/PV10_08172/PV10_08408/PV10_08512/PV10_08795/PV10_06843/PV10_06880/PV10_07326/PV10_07410/PV10_07600/PV10_05478/PV10_05537/PV10_05545/PV10_05700/PV10_05766/PV10_05973/PV10_05999/PV10_06763/PV10_04847/PV10_04971/PV10_05002/PV10_05145/PV10_02002/PV10_02161/PV10_02234/PV10_02281/PV10_02316/PV10_02361/PV10_02543/PV10_03218/PV10_03362/PV10_03437/PV10_03577/PV10_03587/PV10_03648/PV10_00112/PV10_00375/PV10_00557/PV10_00694/PV10_00889/PV10_00984/PV10_00985/PV10_01180/PV10_01331/PV10_01402/PV10_01659/PV10_01851/PV10_01873</t>
  </si>
  <si>
    <t>PV10_09013/PV10_08157/PV10_08550/PV10_08681/PV10_08700/PV10_06869/PV10_06908/PV10_05356/PV10_05783/PV10_06160/PV10_04308/PV10_04818/PV10_05011/PV10_02216/PV10_02403/PV10_02449/PV10_02959/PV10_02984/PV10_00164/PV10_00346/PV10_00651/PV10_01127/PV10_01464/PV10_01571/PV10_01597</t>
  </si>
  <si>
    <t>ko05202</t>
  </si>
  <si>
    <t>Transcriptional misregulation in cancer</t>
  </si>
  <si>
    <t>PV10_07679/PV10_02235/PV10_02403/PV10_02628</t>
  </si>
  <si>
    <t>PV10_09013/PV10_05899/PV10_06482/PV10_06615/PV10_03751/PV10_04035/PV10_04191/PV10_04949/PV10_05091/PV10_03067/PV10_00334/PV10_00436/PV10_01351/PV10_01598/PV10_01662</t>
  </si>
  <si>
    <t>ko05204</t>
  </si>
  <si>
    <t>Chemical carcinogenesis - DNA adducts</t>
  </si>
  <si>
    <t>PV10_08157/PV10_08550/PV10_08700/PV10_06908/PV10_02123/PV10_02959/PV10_00651/PV10_01127/PV10_01464</t>
  </si>
  <si>
    <t>ko05205</t>
  </si>
  <si>
    <t>Proteoglycans in cancer</t>
  </si>
  <si>
    <t>PV10_09013/PV10_06869/PV10_07679/PV10_04818/PV10_02434/PV10_02546/PV10_01851</t>
  </si>
  <si>
    <t>ko05206</t>
  </si>
  <si>
    <t>MicroRNAs in cancer</t>
  </si>
  <si>
    <t>PV10_08285/PV10_06869/PV10_07626/PV10_06176/PV10_04818/PV10_03385</t>
  </si>
  <si>
    <t>PV10_08157/PV10_08550/PV10_08700/PV10_06869/PV10_06908/PV10_04818/PV10_05121/PV10_02959/PV10_00651/PV10_00863/PV10_01127/PV10_01464</t>
  </si>
  <si>
    <t>PV10_09013/PV10_07964/PV10_08157/PV10_08178/PV10_08283/PV10_08294/PV10_08473/PV10_08526/PV10_08550/PV10_08700/PV10_08949/PV10_06908/PV10_07128/PV10_07873/PV10_05556/PV10_06810/PV10_03923/PV10_03963/PV10_04271/PV10_04729/PV10_04818/PV10_02546/PV10_02959/PV10_03037/PV10_03045/PV10_03152/PV10_00253/PV10_00300/PV10_00336/PV10_00346/PV10_00481/PV10_00522/PV10_00651/PV10_01077/PV10_01127/PV10_01464/PV10_01589/PV10_01769/PV10_01851</t>
  </si>
  <si>
    <t>ko05210</t>
  </si>
  <si>
    <t>Colorectal cancer</t>
  </si>
  <si>
    <t>PV10_09013/PV10_06869/PV10_04818/PV10_05011/PV10_02216/PV10_02403/PV10_02984/PV10_00164/PV10_01571</t>
  </si>
  <si>
    <t>ko05211</t>
  </si>
  <si>
    <t>Renal cell carcinoma</t>
  </si>
  <si>
    <t>PV10_09013/PV10_05356/PV10_05783/PV10_04308/PV10_04818</t>
  </si>
  <si>
    <t>ko05212</t>
  </si>
  <si>
    <t>Pancreatic cancer</t>
  </si>
  <si>
    <t>PV10_09013/PV10_08681/PV10_06869/PV10_02403/PV10_02449/PV10_00346</t>
  </si>
  <si>
    <t>ko05213</t>
  </si>
  <si>
    <t>Endometrial cancer</t>
  </si>
  <si>
    <t>PV10_04818/PV10_05011/PV10_02403/PV10_02546</t>
  </si>
  <si>
    <t>ko05214</t>
  </si>
  <si>
    <t>Glioma</t>
  </si>
  <si>
    <t>PV10_06869/PV10_04818/PV10_02403</t>
  </si>
  <si>
    <t>ko05215</t>
  </si>
  <si>
    <t>Prostate cancer</t>
  </si>
  <si>
    <t>PV10_06869/PV10_04818/PV10_02546</t>
  </si>
  <si>
    <t>ko05216</t>
  </si>
  <si>
    <t>Thyroid cancer</t>
  </si>
  <si>
    <t>PV10_02403/PV10_01597</t>
  </si>
  <si>
    <t>ko05217</t>
  </si>
  <si>
    <t>Basal cell carcinoma</t>
  </si>
  <si>
    <t>PV10_02403</t>
  </si>
  <si>
    <t>ko05218</t>
  </si>
  <si>
    <t>Melanoma</t>
  </si>
  <si>
    <t>ko05220</t>
  </si>
  <si>
    <t>Chronic myeloid leukemia</t>
  </si>
  <si>
    <t>PV10_04818/PV10_02403</t>
  </si>
  <si>
    <t>ko05221</t>
  </si>
  <si>
    <t>Acute myeloid leukemia</t>
  </si>
  <si>
    <t>ko05222</t>
  </si>
  <si>
    <t>Small cell lung cancer</t>
  </si>
  <si>
    <t>PV10_02403/PV10_01571</t>
  </si>
  <si>
    <t>ko05223</t>
  </si>
  <si>
    <t>Non-small cell lung cancer</t>
  </si>
  <si>
    <t>PV10_04818/PV10_02403/PV10_02546/PV10_02908</t>
  </si>
  <si>
    <t>ko05224</t>
  </si>
  <si>
    <t>Breast cancer</t>
  </si>
  <si>
    <t>PV10_08157/PV10_08550/PV10_08700/PV10_06869/PV10_06908/PV10_04818/PV10_02403/PV10_02959/PV10_00651/PV10_01127/PV10_01464</t>
  </si>
  <si>
    <t>ko05226</t>
  </si>
  <si>
    <t>Gastric cancer</t>
  </si>
  <si>
    <t>PV10_06869/PV10_07626/PV10_06176/PV10_04818/PV10_05011/PV10_02403</t>
  </si>
  <si>
    <t>PV10_06869/PV10_07205/PV10_00384</t>
  </si>
  <si>
    <t>ko05231</t>
  </si>
  <si>
    <t>Choline metabolism in cancer</t>
  </si>
  <si>
    <t>PV10_09013/PV10_06869/PV10_04818/PV10_02546/PV10_00346</t>
  </si>
  <si>
    <t>ko05235</t>
  </si>
  <si>
    <t>PD-L1 expression and PD-1 checkpoint pathway in cancer</t>
  </si>
  <si>
    <t>PV10_07946/PV10_06869/PV10_07132/PV10_04293/PV10_01851</t>
  </si>
  <si>
    <t>ko05322</t>
  </si>
  <si>
    <t>Systemic lupus erythematosus</t>
  </si>
  <si>
    <t>PV10_04263/PV10_02628/PV10_00334/PV10_00335</t>
  </si>
  <si>
    <t>ko05323</t>
  </si>
  <si>
    <t>Rheumatoid arthritis</t>
  </si>
  <si>
    <t>PV10_05379/PV10_03702/PV10_04628/PV10_05068/PV10_01379/PV10_01521/PV10_01843</t>
  </si>
  <si>
    <t>ko05410</t>
  </si>
  <si>
    <t>Hypertrophic cardiomyopathy</t>
  </si>
  <si>
    <t>PV10_00397/PV10_00658</t>
  </si>
  <si>
    <t>PV10_09013/PV10_08294/PV10_04293/PV10_02546/PV10_01571/PV10_01851</t>
  </si>
  <si>
    <t>PV10_09013/PV10_08157/PV10_08550/PV10_08700/PV10_06908/PV10_02959/PV10_00397/PV10_00651/PV10_01127/PV10_01464/PV10_01851</t>
  </si>
  <si>
    <t>rich_factor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</si>
</sst>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5"/>
  <sheetViews>
    <sheetView tabSelected="1" zoomScale="110" zoomScaleNormal="110" workbookViewId="0">
      <selection activeCell="B6" sqref="B6"/>
    </sheetView>
  </sheetViews>
  <sheetFormatPr baseColWidth="10" defaultRowHeight="14.4" x14ac:dyDescent="0.3"/>
  <cols>
    <col min="1" max="1" width="9.44140625" customWidth="1"/>
    <col min="2" max="2" width="54" customWidth="1"/>
    <col min="3" max="4" width="12.109375" customWidth="1"/>
    <col min="5" max="5" width="9.44140625" customWidth="1"/>
    <col min="6" max="6" width="10.77734375" customWidth="1"/>
    <col min="7" max="7" width="54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 t="s">
        <v>7</v>
      </c>
    </row>
    <row r="3" spans="1:7" x14ac:dyDescent="0.3">
      <c r="A3" s="3" t="s">
        <v>8</v>
      </c>
      <c r="B3" s="3" t="s">
        <v>9</v>
      </c>
      <c r="C3" s="3" t="s">
        <v>10</v>
      </c>
      <c r="D3" s="3" t="s">
        <v>11</v>
      </c>
      <c r="E3" s="3">
        <v>0</v>
      </c>
      <c r="F3" s="3">
        <v>0</v>
      </c>
      <c r="G3" t="s">
        <v>12</v>
      </c>
    </row>
    <row r="4" spans="1:7" x14ac:dyDescent="0.3">
      <c r="A4" s="3" t="s">
        <v>18</v>
      </c>
      <c r="B4" s="3" t="s">
        <v>19</v>
      </c>
      <c r="C4" s="3" t="s">
        <v>20</v>
      </c>
      <c r="D4" s="3" t="s">
        <v>21</v>
      </c>
      <c r="E4" s="3">
        <v>0</v>
      </c>
      <c r="F4" s="3">
        <v>0</v>
      </c>
      <c r="G4" t="s">
        <v>17</v>
      </c>
    </row>
    <row r="5" spans="1:7" x14ac:dyDescent="0.3">
      <c r="A5" s="3" t="s">
        <v>51</v>
      </c>
      <c r="B5" s="3" t="s">
        <v>52</v>
      </c>
      <c r="C5" s="3" t="s">
        <v>15</v>
      </c>
      <c r="D5" s="3" t="s">
        <v>53</v>
      </c>
      <c r="E5" s="3">
        <v>0</v>
      </c>
      <c r="F5" s="3">
        <v>0</v>
      </c>
      <c r="G5" t="s">
        <v>22</v>
      </c>
    </row>
    <row r="6" spans="1:7" x14ac:dyDescent="0.3">
      <c r="A6" t="s">
        <v>70</v>
      </c>
      <c r="B6" s="3" t="s">
        <v>71</v>
      </c>
      <c r="C6" t="s">
        <v>72</v>
      </c>
      <c r="D6" t="s">
        <v>73</v>
      </c>
      <c r="E6">
        <v>0</v>
      </c>
      <c r="F6">
        <v>0</v>
      </c>
      <c r="G6" t="s">
        <v>27</v>
      </c>
    </row>
    <row r="7" spans="1:7" x14ac:dyDescent="0.3">
      <c r="A7" t="s">
        <v>79</v>
      </c>
      <c r="B7" t="s">
        <v>80</v>
      </c>
      <c r="C7" t="s">
        <v>35</v>
      </c>
      <c r="D7" t="s">
        <v>26</v>
      </c>
      <c r="E7">
        <v>0</v>
      </c>
      <c r="F7">
        <v>0</v>
      </c>
      <c r="G7" t="s">
        <v>32</v>
      </c>
    </row>
    <row r="8" spans="1:7" x14ac:dyDescent="0.3">
      <c r="A8" t="s">
        <v>82</v>
      </c>
      <c r="B8" s="3" t="s">
        <v>83</v>
      </c>
      <c r="C8" t="s">
        <v>84</v>
      </c>
      <c r="D8" t="s">
        <v>85</v>
      </c>
      <c r="E8">
        <v>0</v>
      </c>
      <c r="F8">
        <v>0</v>
      </c>
      <c r="G8" t="s">
        <v>37</v>
      </c>
    </row>
    <row r="9" spans="1:7" x14ac:dyDescent="0.3">
      <c r="A9" t="s">
        <v>90</v>
      </c>
      <c r="B9" s="3" t="s">
        <v>91</v>
      </c>
      <c r="C9" t="s">
        <v>92</v>
      </c>
      <c r="D9" t="s">
        <v>93</v>
      </c>
      <c r="E9">
        <v>0</v>
      </c>
      <c r="F9">
        <v>0</v>
      </c>
      <c r="G9" t="s">
        <v>42</v>
      </c>
    </row>
    <row r="10" spans="1:7" x14ac:dyDescent="0.3">
      <c r="A10" t="s">
        <v>95</v>
      </c>
      <c r="B10" s="3" t="s">
        <v>96</v>
      </c>
      <c r="C10" t="s">
        <v>97</v>
      </c>
      <c r="D10" t="s">
        <v>11</v>
      </c>
      <c r="E10">
        <v>0</v>
      </c>
      <c r="F10">
        <v>0</v>
      </c>
      <c r="G10" t="s">
        <v>46</v>
      </c>
    </row>
    <row r="11" spans="1:7" x14ac:dyDescent="0.3">
      <c r="A11" t="s">
        <v>112</v>
      </c>
      <c r="B11" t="s">
        <v>113</v>
      </c>
      <c r="C11" t="s">
        <v>92</v>
      </c>
      <c r="D11" t="s">
        <v>114</v>
      </c>
      <c r="E11">
        <v>0</v>
      </c>
      <c r="F11">
        <v>0</v>
      </c>
      <c r="G11" t="s">
        <v>50</v>
      </c>
    </row>
    <row r="12" spans="1:7" x14ac:dyDescent="0.3">
      <c r="A12" t="s">
        <v>116</v>
      </c>
      <c r="B12" t="s">
        <v>117</v>
      </c>
      <c r="C12" t="s">
        <v>118</v>
      </c>
      <c r="D12" t="s">
        <v>119</v>
      </c>
      <c r="E12">
        <v>0</v>
      </c>
      <c r="F12">
        <v>0</v>
      </c>
      <c r="G12" t="s">
        <v>54</v>
      </c>
    </row>
    <row r="13" spans="1:7" x14ac:dyDescent="0.3">
      <c r="A13" t="s">
        <v>130</v>
      </c>
      <c r="B13" t="s">
        <v>131</v>
      </c>
      <c r="C13" t="s">
        <v>20</v>
      </c>
      <c r="D13" t="s">
        <v>132</v>
      </c>
      <c r="E13">
        <v>0</v>
      </c>
      <c r="F13">
        <v>0</v>
      </c>
      <c r="G13" t="s">
        <v>59</v>
      </c>
    </row>
    <row r="14" spans="1:7" x14ac:dyDescent="0.3">
      <c r="A14" t="s">
        <v>138</v>
      </c>
      <c r="B14" s="3" t="s">
        <v>139</v>
      </c>
      <c r="C14" t="s">
        <v>140</v>
      </c>
      <c r="D14" t="s">
        <v>141</v>
      </c>
      <c r="E14">
        <v>0</v>
      </c>
      <c r="F14">
        <v>0</v>
      </c>
      <c r="G14" t="s">
        <v>63</v>
      </c>
    </row>
    <row r="15" spans="1:7" x14ac:dyDescent="0.3">
      <c r="A15" t="s">
        <v>151</v>
      </c>
      <c r="B15" s="3" t="s">
        <v>152</v>
      </c>
      <c r="C15" t="s">
        <v>10</v>
      </c>
      <c r="D15" t="s">
        <v>106</v>
      </c>
      <c r="E15">
        <v>0</v>
      </c>
      <c r="F15">
        <v>0</v>
      </c>
      <c r="G15" t="s">
        <v>66</v>
      </c>
    </row>
    <row r="16" spans="1:7" x14ac:dyDescent="0.3">
      <c r="A16" t="s">
        <v>154</v>
      </c>
      <c r="B16" s="3" t="s">
        <v>155</v>
      </c>
      <c r="C16" t="s">
        <v>92</v>
      </c>
      <c r="D16" t="s">
        <v>156</v>
      </c>
      <c r="E16">
        <v>0</v>
      </c>
      <c r="F16">
        <v>0</v>
      </c>
      <c r="G16" t="s">
        <v>69</v>
      </c>
    </row>
    <row r="17" spans="1:7" x14ac:dyDescent="0.3">
      <c r="A17" t="s">
        <v>162</v>
      </c>
      <c r="B17" t="s">
        <v>163</v>
      </c>
      <c r="C17" t="s">
        <v>123</v>
      </c>
      <c r="D17" t="s">
        <v>21</v>
      </c>
      <c r="E17">
        <v>0</v>
      </c>
      <c r="F17">
        <v>0</v>
      </c>
      <c r="G17" t="s">
        <v>74</v>
      </c>
    </row>
    <row r="18" spans="1:7" x14ac:dyDescent="0.3">
      <c r="A18" t="s">
        <v>170</v>
      </c>
      <c r="B18" t="s">
        <v>171</v>
      </c>
      <c r="C18" t="s">
        <v>105</v>
      </c>
      <c r="D18" t="s">
        <v>172</v>
      </c>
      <c r="E18">
        <v>0</v>
      </c>
      <c r="F18">
        <v>0</v>
      </c>
      <c r="G18" t="s">
        <v>78</v>
      </c>
    </row>
    <row r="19" spans="1:7" x14ac:dyDescent="0.3">
      <c r="A19" t="s">
        <v>174</v>
      </c>
      <c r="B19" t="s">
        <v>175</v>
      </c>
      <c r="C19" t="s">
        <v>123</v>
      </c>
      <c r="D19" t="s">
        <v>21</v>
      </c>
      <c r="E19">
        <v>0</v>
      </c>
      <c r="F19">
        <v>0</v>
      </c>
      <c r="G19" t="s">
        <v>81</v>
      </c>
    </row>
    <row r="20" spans="1:7" x14ac:dyDescent="0.3">
      <c r="A20" t="s">
        <v>209</v>
      </c>
      <c r="B20" s="3" t="s">
        <v>210</v>
      </c>
      <c r="C20" t="s">
        <v>15</v>
      </c>
      <c r="D20" t="s">
        <v>211</v>
      </c>
      <c r="E20">
        <v>0</v>
      </c>
      <c r="F20">
        <v>0</v>
      </c>
      <c r="G20" t="s">
        <v>86</v>
      </c>
    </row>
    <row r="21" spans="1:7" x14ac:dyDescent="0.3">
      <c r="A21" t="s">
        <v>213</v>
      </c>
      <c r="B21" t="s">
        <v>214</v>
      </c>
      <c r="C21" t="s">
        <v>215</v>
      </c>
      <c r="D21" t="s">
        <v>53</v>
      </c>
      <c r="E21">
        <v>0</v>
      </c>
      <c r="F21">
        <v>0</v>
      </c>
      <c r="G21" t="s">
        <v>89</v>
      </c>
    </row>
    <row r="22" spans="1:7" x14ac:dyDescent="0.3">
      <c r="A22" t="s">
        <v>217</v>
      </c>
      <c r="B22" t="s">
        <v>218</v>
      </c>
      <c r="C22" t="s">
        <v>207</v>
      </c>
      <c r="D22" t="s">
        <v>219</v>
      </c>
      <c r="E22">
        <v>0</v>
      </c>
      <c r="F22">
        <v>0</v>
      </c>
      <c r="G22" t="s">
        <v>94</v>
      </c>
    </row>
    <row r="23" spans="1:7" x14ac:dyDescent="0.3">
      <c r="A23" t="s">
        <v>224</v>
      </c>
      <c r="B23" t="s">
        <v>225</v>
      </c>
      <c r="C23" t="s">
        <v>123</v>
      </c>
      <c r="D23" t="s">
        <v>226</v>
      </c>
      <c r="E23">
        <v>0</v>
      </c>
      <c r="F23">
        <v>0</v>
      </c>
      <c r="G23" t="s">
        <v>98</v>
      </c>
    </row>
    <row r="24" spans="1:7" x14ac:dyDescent="0.3">
      <c r="A24" t="s">
        <v>231</v>
      </c>
      <c r="B24" t="s">
        <v>232</v>
      </c>
      <c r="C24" t="s">
        <v>233</v>
      </c>
      <c r="D24" t="s">
        <v>156</v>
      </c>
      <c r="E24">
        <v>0</v>
      </c>
      <c r="F24">
        <v>0</v>
      </c>
      <c r="G24" t="s">
        <v>102</v>
      </c>
    </row>
    <row r="25" spans="1:7" x14ac:dyDescent="0.3">
      <c r="A25" t="s">
        <v>247</v>
      </c>
      <c r="B25" t="s">
        <v>248</v>
      </c>
      <c r="C25" t="s">
        <v>189</v>
      </c>
      <c r="D25" t="s">
        <v>16</v>
      </c>
      <c r="E25">
        <v>0</v>
      </c>
      <c r="F25">
        <v>0</v>
      </c>
      <c r="G25" t="s">
        <v>107</v>
      </c>
    </row>
    <row r="26" spans="1:7" x14ac:dyDescent="0.3">
      <c r="A26" t="s">
        <v>256</v>
      </c>
      <c r="B26" t="s">
        <v>257</v>
      </c>
      <c r="C26" t="s">
        <v>140</v>
      </c>
      <c r="D26" t="s">
        <v>114</v>
      </c>
      <c r="E26">
        <v>0</v>
      </c>
      <c r="F26">
        <v>0</v>
      </c>
      <c r="G26" t="s">
        <v>111</v>
      </c>
    </row>
    <row r="27" spans="1:7" x14ac:dyDescent="0.3">
      <c r="A27" t="s">
        <v>259</v>
      </c>
      <c r="B27" t="s">
        <v>260</v>
      </c>
      <c r="C27" t="s">
        <v>207</v>
      </c>
      <c r="D27" t="s">
        <v>62</v>
      </c>
      <c r="E27">
        <v>0</v>
      </c>
      <c r="F27">
        <v>0</v>
      </c>
      <c r="G27" t="s">
        <v>115</v>
      </c>
    </row>
    <row r="28" spans="1:7" x14ac:dyDescent="0.3">
      <c r="A28" t="s">
        <v>280</v>
      </c>
      <c r="B28" t="s">
        <v>281</v>
      </c>
      <c r="C28" t="s">
        <v>282</v>
      </c>
      <c r="D28" t="s">
        <v>283</v>
      </c>
      <c r="E28">
        <v>0</v>
      </c>
      <c r="F28">
        <v>0</v>
      </c>
      <c r="G28" t="s">
        <v>120</v>
      </c>
    </row>
    <row r="29" spans="1:7" x14ac:dyDescent="0.3">
      <c r="A29" t="s">
        <v>294</v>
      </c>
      <c r="B29" t="s">
        <v>295</v>
      </c>
      <c r="C29" t="s">
        <v>30</v>
      </c>
      <c r="D29" t="s">
        <v>296</v>
      </c>
      <c r="E29">
        <v>0</v>
      </c>
      <c r="F29">
        <v>0</v>
      </c>
      <c r="G29" t="s">
        <v>125</v>
      </c>
    </row>
    <row r="30" spans="1:7" x14ac:dyDescent="0.3">
      <c r="A30" t="s">
        <v>298</v>
      </c>
      <c r="B30" t="s">
        <v>299</v>
      </c>
      <c r="C30" t="s">
        <v>300</v>
      </c>
      <c r="D30" t="s">
        <v>301</v>
      </c>
      <c r="E30">
        <v>0</v>
      </c>
      <c r="F30">
        <v>0</v>
      </c>
      <c r="G30" t="s">
        <v>129</v>
      </c>
    </row>
    <row r="31" spans="1:7" x14ac:dyDescent="0.3">
      <c r="A31" t="s">
        <v>307</v>
      </c>
      <c r="B31" t="s">
        <v>308</v>
      </c>
      <c r="C31" t="s">
        <v>35</v>
      </c>
      <c r="D31" t="s">
        <v>226</v>
      </c>
      <c r="E31">
        <v>0</v>
      </c>
      <c r="F31">
        <v>0</v>
      </c>
      <c r="G31" t="s">
        <v>133</v>
      </c>
    </row>
    <row r="32" spans="1:7" x14ac:dyDescent="0.3">
      <c r="A32" t="s">
        <v>310</v>
      </c>
      <c r="B32" t="s">
        <v>311</v>
      </c>
      <c r="C32" t="s">
        <v>118</v>
      </c>
      <c r="D32" t="s">
        <v>312</v>
      </c>
      <c r="E32">
        <v>0</v>
      </c>
      <c r="F32">
        <v>0</v>
      </c>
      <c r="G32" t="s">
        <v>137</v>
      </c>
    </row>
    <row r="33" spans="1:7" x14ac:dyDescent="0.3">
      <c r="A33" t="s">
        <v>317</v>
      </c>
      <c r="B33" t="s">
        <v>318</v>
      </c>
      <c r="C33" t="s">
        <v>145</v>
      </c>
      <c r="D33" t="s">
        <v>319</v>
      </c>
      <c r="E33">
        <v>0</v>
      </c>
      <c r="F33">
        <v>0</v>
      </c>
      <c r="G33" t="s">
        <v>142</v>
      </c>
    </row>
    <row r="34" spans="1:7" x14ac:dyDescent="0.3">
      <c r="A34" t="s">
        <v>330</v>
      </c>
      <c r="B34" t="s">
        <v>331</v>
      </c>
      <c r="C34" t="s">
        <v>167</v>
      </c>
      <c r="D34" t="s">
        <v>124</v>
      </c>
      <c r="E34">
        <v>0</v>
      </c>
      <c r="F34">
        <v>0</v>
      </c>
      <c r="G34" t="s">
        <v>146</v>
      </c>
    </row>
    <row r="35" spans="1:7" x14ac:dyDescent="0.3">
      <c r="A35" t="s">
        <v>343</v>
      </c>
      <c r="B35" t="s">
        <v>344</v>
      </c>
      <c r="C35" t="s">
        <v>327</v>
      </c>
      <c r="D35" t="s">
        <v>345</v>
      </c>
      <c r="E35">
        <v>0</v>
      </c>
      <c r="F35">
        <v>0</v>
      </c>
      <c r="G35" t="s">
        <v>150</v>
      </c>
    </row>
    <row r="36" spans="1:7" x14ac:dyDescent="0.3">
      <c r="A36" t="s">
        <v>356</v>
      </c>
      <c r="B36" t="s">
        <v>357</v>
      </c>
      <c r="C36" t="s">
        <v>20</v>
      </c>
      <c r="D36" t="s">
        <v>323</v>
      </c>
      <c r="E36">
        <v>0</v>
      </c>
      <c r="F36">
        <v>0</v>
      </c>
      <c r="G36" t="s">
        <v>153</v>
      </c>
    </row>
    <row r="37" spans="1:7" x14ac:dyDescent="0.3">
      <c r="A37" t="s">
        <v>369</v>
      </c>
      <c r="B37" t="s">
        <v>370</v>
      </c>
      <c r="C37" t="s">
        <v>25</v>
      </c>
      <c r="D37" t="s">
        <v>305</v>
      </c>
      <c r="E37">
        <v>0</v>
      </c>
      <c r="F37">
        <v>0</v>
      </c>
      <c r="G37" t="s">
        <v>157</v>
      </c>
    </row>
    <row r="38" spans="1:7" x14ac:dyDescent="0.3">
      <c r="A38" t="s">
        <v>372</v>
      </c>
      <c r="B38" t="s">
        <v>373</v>
      </c>
      <c r="C38" t="s">
        <v>207</v>
      </c>
      <c r="D38" t="s">
        <v>26</v>
      </c>
      <c r="E38">
        <v>0</v>
      </c>
      <c r="F38">
        <v>0</v>
      </c>
      <c r="G38" t="s">
        <v>161</v>
      </c>
    </row>
    <row r="39" spans="1:7" x14ac:dyDescent="0.3">
      <c r="A39" t="s">
        <v>399</v>
      </c>
      <c r="B39" t="s">
        <v>400</v>
      </c>
      <c r="C39" t="s">
        <v>327</v>
      </c>
      <c r="D39" t="s">
        <v>401</v>
      </c>
      <c r="E39">
        <v>0</v>
      </c>
      <c r="F39">
        <v>0</v>
      </c>
      <c r="G39" t="s">
        <v>164</v>
      </c>
    </row>
    <row r="40" spans="1:7" x14ac:dyDescent="0.3">
      <c r="A40" t="s">
        <v>409</v>
      </c>
      <c r="B40" t="s">
        <v>410</v>
      </c>
      <c r="C40" t="s">
        <v>327</v>
      </c>
      <c r="D40" t="s">
        <v>401</v>
      </c>
      <c r="E40">
        <v>0</v>
      </c>
      <c r="F40">
        <v>0</v>
      </c>
      <c r="G40" t="s">
        <v>169</v>
      </c>
    </row>
    <row r="41" spans="1:7" x14ac:dyDescent="0.3">
      <c r="A41" t="s">
        <v>418</v>
      </c>
      <c r="B41" t="s">
        <v>419</v>
      </c>
      <c r="C41" t="s">
        <v>420</v>
      </c>
      <c r="D41" t="s">
        <v>421</v>
      </c>
      <c r="E41">
        <v>0</v>
      </c>
      <c r="F41">
        <v>0</v>
      </c>
      <c r="G41" t="s">
        <v>173</v>
      </c>
    </row>
    <row r="42" spans="1:7" x14ac:dyDescent="0.3">
      <c r="A42" t="s">
        <v>423</v>
      </c>
      <c r="B42" t="s">
        <v>424</v>
      </c>
      <c r="C42" t="s">
        <v>425</v>
      </c>
      <c r="D42" t="s">
        <v>426</v>
      </c>
      <c r="E42">
        <v>0</v>
      </c>
      <c r="F42">
        <v>0</v>
      </c>
      <c r="G42" t="s">
        <v>176</v>
      </c>
    </row>
    <row r="43" spans="1:7" x14ac:dyDescent="0.3">
      <c r="A43" t="s">
        <v>428</v>
      </c>
      <c r="B43" t="s">
        <v>429</v>
      </c>
      <c r="C43" t="s">
        <v>430</v>
      </c>
      <c r="D43" t="s">
        <v>431</v>
      </c>
      <c r="E43">
        <v>0</v>
      </c>
      <c r="F43">
        <v>0</v>
      </c>
      <c r="G43" t="s">
        <v>179</v>
      </c>
    </row>
    <row r="44" spans="1:7" x14ac:dyDescent="0.3">
      <c r="A44" t="s">
        <v>433</v>
      </c>
      <c r="B44" t="s">
        <v>434</v>
      </c>
      <c r="C44" t="s">
        <v>435</v>
      </c>
      <c r="D44" t="s">
        <v>436</v>
      </c>
      <c r="E44">
        <v>0</v>
      </c>
      <c r="F44">
        <v>0</v>
      </c>
      <c r="G44" t="s">
        <v>182</v>
      </c>
    </row>
    <row r="45" spans="1:7" x14ac:dyDescent="0.3">
      <c r="A45" t="s">
        <v>438</v>
      </c>
      <c r="B45" t="s">
        <v>439</v>
      </c>
      <c r="C45" t="s">
        <v>97</v>
      </c>
      <c r="D45" t="s">
        <v>93</v>
      </c>
      <c r="E45">
        <v>0</v>
      </c>
      <c r="F45">
        <v>0</v>
      </c>
      <c r="G45" t="s">
        <v>186</v>
      </c>
    </row>
    <row r="46" spans="1:7" x14ac:dyDescent="0.3">
      <c r="A46" t="s">
        <v>444</v>
      </c>
      <c r="B46" t="s">
        <v>445</v>
      </c>
      <c r="C46" t="s">
        <v>25</v>
      </c>
      <c r="D46" t="s">
        <v>446</v>
      </c>
      <c r="E46">
        <v>0</v>
      </c>
      <c r="F46">
        <v>0</v>
      </c>
      <c r="G46" t="s">
        <v>190</v>
      </c>
    </row>
    <row r="47" spans="1:7" x14ac:dyDescent="0.3">
      <c r="A47" t="s">
        <v>448</v>
      </c>
      <c r="B47" t="s">
        <v>449</v>
      </c>
      <c r="C47" t="s">
        <v>450</v>
      </c>
      <c r="D47" t="s">
        <v>451</v>
      </c>
      <c r="E47">
        <v>0</v>
      </c>
      <c r="F47">
        <v>0</v>
      </c>
      <c r="G47" t="s">
        <v>194</v>
      </c>
    </row>
    <row r="48" spans="1:7" x14ac:dyDescent="0.3">
      <c r="A48" t="s">
        <v>453</v>
      </c>
      <c r="B48" t="s">
        <v>454</v>
      </c>
      <c r="C48" t="s">
        <v>233</v>
      </c>
      <c r="D48" t="s">
        <v>301</v>
      </c>
      <c r="E48">
        <v>0</v>
      </c>
      <c r="F48">
        <v>0</v>
      </c>
      <c r="G48" t="s">
        <v>197</v>
      </c>
    </row>
    <row r="49" spans="1:7" x14ac:dyDescent="0.3">
      <c r="A49" t="s">
        <v>456</v>
      </c>
      <c r="B49" t="s">
        <v>457</v>
      </c>
      <c r="C49" t="s">
        <v>458</v>
      </c>
      <c r="D49" t="s">
        <v>459</v>
      </c>
      <c r="E49">
        <v>0</v>
      </c>
      <c r="F49">
        <v>0</v>
      </c>
      <c r="G49" t="s">
        <v>200</v>
      </c>
    </row>
    <row r="50" spans="1:7" x14ac:dyDescent="0.3">
      <c r="A50" t="s">
        <v>461</v>
      </c>
      <c r="B50" t="s">
        <v>462</v>
      </c>
      <c r="C50" t="s">
        <v>35</v>
      </c>
      <c r="D50" t="s">
        <v>160</v>
      </c>
      <c r="E50">
        <v>0</v>
      </c>
      <c r="F50">
        <v>0</v>
      </c>
      <c r="G50" t="s">
        <v>204</v>
      </c>
    </row>
    <row r="51" spans="1:7" x14ac:dyDescent="0.3">
      <c r="A51" t="s">
        <v>467</v>
      </c>
      <c r="B51" t="s">
        <v>468</v>
      </c>
      <c r="C51" t="s">
        <v>327</v>
      </c>
      <c r="D51" t="s">
        <v>226</v>
      </c>
      <c r="E51">
        <v>0</v>
      </c>
      <c r="F51">
        <v>0</v>
      </c>
      <c r="G51" t="s">
        <v>208</v>
      </c>
    </row>
    <row r="52" spans="1:7" x14ac:dyDescent="0.3">
      <c r="A52" t="s">
        <v>479</v>
      </c>
      <c r="B52" t="s">
        <v>480</v>
      </c>
      <c r="C52" t="s">
        <v>10</v>
      </c>
      <c r="D52" t="s">
        <v>481</v>
      </c>
      <c r="E52">
        <v>0</v>
      </c>
      <c r="F52">
        <v>0</v>
      </c>
      <c r="G52" t="s">
        <v>212</v>
      </c>
    </row>
    <row r="53" spans="1:7" x14ac:dyDescent="0.3">
      <c r="A53" t="s">
        <v>483</v>
      </c>
      <c r="B53" t="s">
        <v>484</v>
      </c>
      <c r="C53" t="s">
        <v>485</v>
      </c>
      <c r="D53" t="s">
        <v>486</v>
      </c>
      <c r="E53">
        <v>0</v>
      </c>
      <c r="F53">
        <v>0</v>
      </c>
      <c r="G53" t="s">
        <v>216</v>
      </c>
    </row>
    <row r="54" spans="1:7" x14ac:dyDescent="0.3">
      <c r="A54" t="s">
        <v>488</v>
      </c>
      <c r="B54" t="s">
        <v>489</v>
      </c>
      <c r="C54" t="s">
        <v>490</v>
      </c>
      <c r="D54" t="s">
        <v>141</v>
      </c>
      <c r="E54">
        <v>0</v>
      </c>
      <c r="F54">
        <v>0</v>
      </c>
      <c r="G54" t="s">
        <v>220</v>
      </c>
    </row>
    <row r="55" spans="1:7" x14ac:dyDescent="0.3">
      <c r="A55" t="s">
        <v>492</v>
      </c>
      <c r="B55" t="s">
        <v>493</v>
      </c>
      <c r="C55" t="s">
        <v>97</v>
      </c>
      <c r="D55" t="s">
        <v>106</v>
      </c>
      <c r="E55">
        <v>0</v>
      </c>
      <c r="F55">
        <v>0</v>
      </c>
      <c r="G55" t="s">
        <v>223</v>
      </c>
    </row>
    <row r="56" spans="1:7" x14ac:dyDescent="0.3">
      <c r="A56" t="s">
        <v>495</v>
      </c>
      <c r="B56" t="s">
        <v>496</v>
      </c>
      <c r="C56" t="s">
        <v>215</v>
      </c>
      <c r="D56" t="s">
        <v>497</v>
      </c>
      <c r="E56">
        <v>0</v>
      </c>
      <c r="F56">
        <v>0</v>
      </c>
      <c r="G56" t="s">
        <v>227</v>
      </c>
    </row>
    <row r="57" spans="1:7" x14ac:dyDescent="0.3">
      <c r="A57" t="s">
        <v>499</v>
      </c>
      <c r="B57" t="s">
        <v>500</v>
      </c>
      <c r="C57" t="s">
        <v>35</v>
      </c>
      <c r="D57" t="s">
        <v>323</v>
      </c>
      <c r="E57">
        <v>0</v>
      </c>
      <c r="F57">
        <v>0</v>
      </c>
      <c r="G57" t="s">
        <v>230</v>
      </c>
    </row>
    <row r="58" spans="1:7" x14ac:dyDescent="0.3">
      <c r="A58" t="s">
        <v>508</v>
      </c>
      <c r="B58" t="s">
        <v>509</v>
      </c>
      <c r="C58" t="s">
        <v>510</v>
      </c>
      <c r="D58" t="s">
        <v>511</v>
      </c>
      <c r="E58">
        <v>0</v>
      </c>
      <c r="F58">
        <v>0</v>
      </c>
      <c r="G58" t="s">
        <v>234</v>
      </c>
    </row>
    <row r="59" spans="1:7" x14ac:dyDescent="0.3">
      <c r="A59" t="s">
        <v>550</v>
      </c>
      <c r="B59" s="4" t="s">
        <v>551</v>
      </c>
      <c r="C59" t="s">
        <v>145</v>
      </c>
      <c r="D59" t="s">
        <v>319</v>
      </c>
      <c r="E59">
        <v>0</v>
      </c>
      <c r="F59">
        <v>0</v>
      </c>
      <c r="G59" t="s">
        <v>237</v>
      </c>
    </row>
    <row r="60" spans="1:7" x14ac:dyDescent="0.3">
      <c r="A60" t="s">
        <v>553</v>
      </c>
      <c r="B60" t="s">
        <v>554</v>
      </c>
      <c r="C60" t="s">
        <v>555</v>
      </c>
      <c r="D60" t="s">
        <v>556</v>
      </c>
      <c r="E60">
        <v>0</v>
      </c>
      <c r="F60">
        <v>0</v>
      </c>
      <c r="G60" t="s">
        <v>240</v>
      </c>
    </row>
    <row r="61" spans="1:7" x14ac:dyDescent="0.3">
      <c r="A61" t="s">
        <v>564</v>
      </c>
      <c r="B61" t="s">
        <v>565</v>
      </c>
      <c r="C61" t="s">
        <v>35</v>
      </c>
      <c r="D61" t="s">
        <v>160</v>
      </c>
      <c r="E61">
        <v>0</v>
      </c>
      <c r="F61">
        <v>0</v>
      </c>
      <c r="G61" t="s">
        <v>243</v>
      </c>
    </row>
    <row r="62" spans="1:7" x14ac:dyDescent="0.3">
      <c r="A62" t="s">
        <v>588</v>
      </c>
      <c r="B62" t="s">
        <v>589</v>
      </c>
      <c r="C62" t="s">
        <v>207</v>
      </c>
      <c r="D62" t="s">
        <v>62</v>
      </c>
      <c r="E62">
        <v>0</v>
      </c>
      <c r="F62">
        <v>0</v>
      </c>
      <c r="G62" t="s">
        <v>246</v>
      </c>
    </row>
    <row r="63" spans="1:7" x14ac:dyDescent="0.3">
      <c r="A63" t="s">
        <v>597</v>
      </c>
      <c r="B63" t="s">
        <v>598</v>
      </c>
      <c r="C63" t="s">
        <v>20</v>
      </c>
      <c r="D63" t="s">
        <v>323</v>
      </c>
      <c r="E63">
        <v>0</v>
      </c>
      <c r="F63">
        <v>0</v>
      </c>
      <c r="G63" t="s">
        <v>249</v>
      </c>
    </row>
    <row r="64" spans="1:7" x14ac:dyDescent="0.3">
      <c r="A64" t="s">
        <v>600</v>
      </c>
      <c r="B64" t="s">
        <v>601</v>
      </c>
      <c r="C64" t="s">
        <v>40</v>
      </c>
      <c r="D64" t="s">
        <v>203</v>
      </c>
      <c r="E64">
        <v>0</v>
      </c>
      <c r="F64">
        <v>0</v>
      </c>
      <c r="G64" t="s">
        <v>252</v>
      </c>
    </row>
    <row r="65" spans="1:7" x14ac:dyDescent="0.3">
      <c r="A65" t="s">
        <v>606</v>
      </c>
      <c r="B65" t="s">
        <v>607</v>
      </c>
      <c r="C65" t="s">
        <v>608</v>
      </c>
      <c r="D65" t="s">
        <v>609</v>
      </c>
      <c r="E65">
        <v>0</v>
      </c>
      <c r="F65">
        <v>0</v>
      </c>
      <c r="G65" t="s">
        <v>255</v>
      </c>
    </row>
    <row r="66" spans="1:7" x14ac:dyDescent="0.3">
      <c r="A66" t="s">
        <v>611</v>
      </c>
      <c r="B66" t="s">
        <v>612</v>
      </c>
      <c r="C66" t="s">
        <v>536</v>
      </c>
      <c r="D66" t="s">
        <v>613</v>
      </c>
      <c r="E66">
        <v>0</v>
      </c>
      <c r="F66">
        <v>0</v>
      </c>
      <c r="G66" t="s">
        <v>258</v>
      </c>
    </row>
    <row r="67" spans="1:7" x14ac:dyDescent="0.3">
      <c r="A67" t="s">
        <v>615</v>
      </c>
      <c r="B67" t="s">
        <v>616</v>
      </c>
      <c r="C67" t="s">
        <v>617</v>
      </c>
      <c r="D67" t="s">
        <v>172</v>
      </c>
      <c r="E67">
        <v>0</v>
      </c>
      <c r="F67">
        <v>0</v>
      </c>
      <c r="G67" t="s">
        <v>261</v>
      </c>
    </row>
    <row r="68" spans="1:7" x14ac:dyDescent="0.3">
      <c r="A68" t="s">
        <v>625</v>
      </c>
      <c r="B68" t="s">
        <v>626</v>
      </c>
      <c r="C68" t="s">
        <v>608</v>
      </c>
      <c r="D68" t="s">
        <v>141</v>
      </c>
      <c r="E68">
        <v>0</v>
      </c>
      <c r="F68">
        <v>0</v>
      </c>
      <c r="G68" t="s">
        <v>264</v>
      </c>
    </row>
    <row r="69" spans="1:7" x14ac:dyDescent="0.3">
      <c r="A69" t="s">
        <v>641</v>
      </c>
      <c r="B69" t="s">
        <v>642</v>
      </c>
      <c r="C69" t="s">
        <v>643</v>
      </c>
      <c r="D69" t="s">
        <v>644</v>
      </c>
      <c r="E69">
        <v>0</v>
      </c>
      <c r="F69">
        <v>0</v>
      </c>
      <c r="G69" t="s">
        <v>267</v>
      </c>
    </row>
    <row r="70" spans="1:7" x14ac:dyDescent="0.3">
      <c r="A70" t="s">
        <v>646</v>
      </c>
      <c r="B70" t="s">
        <v>647</v>
      </c>
      <c r="C70" t="s">
        <v>189</v>
      </c>
      <c r="D70" t="s">
        <v>219</v>
      </c>
      <c r="E70">
        <v>0</v>
      </c>
      <c r="F70">
        <v>0</v>
      </c>
      <c r="G70" t="s">
        <v>270</v>
      </c>
    </row>
    <row r="71" spans="1:7" x14ac:dyDescent="0.3">
      <c r="A71" t="s">
        <v>649</v>
      </c>
      <c r="B71" t="s">
        <v>650</v>
      </c>
      <c r="C71" t="s">
        <v>140</v>
      </c>
      <c r="D71" t="s">
        <v>296</v>
      </c>
      <c r="E71">
        <v>0</v>
      </c>
      <c r="F71">
        <v>0</v>
      </c>
      <c r="G71" t="s">
        <v>273</v>
      </c>
    </row>
    <row r="72" spans="1:7" x14ac:dyDescent="0.3">
      <c r="A72" t="s">
        <v>652</v>
      </c>
      <c r="B72" t="s">
        <v>653</v>
      </c>
      <c r="C72" t="s">
        <v>654</v>
      </c>
      <c r="D72" t="s">
        <v>655</v>
      </c>
      <c r="E72">
        <v>0</v>
      </c>
      <c r="F72">
        <v>0</v>
      </c>
      <c r="G72" t="s">
        <v>276</v>
      </c>
    </row>
    <row r="73" spans="1:7" x14ac:dyDescent="0.3">
      <c r="A73" t="s">
        <v>667</v>
      </c>
      <c r="B73" t="s">
        <v>668</v>
      </c>
      <c r="C73" t="s">
        <v>669</v>
      </c>
      <c r="D73" t="s">
        <v>141</v>
      </c>
      <c r="E73">
        <v>0</v>
      </c>
      <c r="F73">
        <v>0</v>
      </c>
      <c r="G73" t="s">
        <v>279</v>
      </c>
    </row>
    <row r="74" spans="1:7" x14ac:dyDescent="0.3">
      <c r="A74" t="s">
        <v>671</v>
      </c>
      <c r="B74" t="s">
        <v>672</v>
      </c>
      <c r="C74" t="s">
        <v>25</v>
      </c>
      <c r="D74" t="s">
        <v>11</v>
      </c>
      <c r="E74">
        <v>0</v>
      </c>
      <c r="F74">
        <v>0</v>
      </c>
      <c r="G74" t="s">
        <v>284</v>
      </c>
    </row>
    <row r="75" spans="1:7" x14ac:dyDescent="0.3">
      <c r="A75" t="s">
        <v>674</v>
      </c>
      <c r="B75" t="s">
        <v>675</v>
      </c>
      <c r="C75" t="s">
        <v>20</v>
      </c>
      <c r="D75" t="s">
        <v>446</v>
      </c>
      <c r="E75">
        <v>0</v>
      </c>
      <c r="F75">
        <v>0</v>
      </c>
      <c r="G75" t="s">
        <v>287</v>
      </c>
    </row>
    <row r="76" spans="1:7" x14ac:dyDescent="0.3">
      <c r="A76" t="s">
        <v>787</v>
      </c>
      <c r="B76" t="s">
        <v>788</v>
      </c>
      <c r="C76" t="s">
        <v>110</v>
      </c>
      <c r="D76" t="s">
        <v>45</v>
      </c>
      <c r="E76">
        <v>0</v>
      </c>
      <c r="F76">
        <v>0</v>
      </c>
      <c r="G76" t="s">
        <v>290</v>
      </c>
    </row>
    <row r="77" spans="1:7" x14ac:dyDescent="0.3">
      <c r="A77" t="s">
        <v>833</v>
      </c>
      <c r="B77" s="3" t="s">
        <v>834</v>
      </c>
      <c r="C77" t="s">
        <v>835</v>
      </c>
      <c r="D77" t="s">
        <v>73</v>
      </c>
      <c r="E77">
        <v>0</v>
      </c>
      <c r="F77">
        <v>0</v>
      </c>
      <c r="G77" t="s">
        <v>293</v>
      </c>
    </row>
    <row r="78" spans="1:7" x14ac:dyDescent="0.3">
      <c r="A78" t="s">
        <v>843</v>
      </c>
      <c r="B78" t="s">
        <v>844</v>
      </c>
      <c r="C78" t="s">
        <v>207</v>
      </c>
      <c r="D78" t="s">
        <v>203</v>
      </c>
      <c r="E78">
        <v>0</v>
      </c>
      <c r="F78">
        <v>0</v>
      </c>
      <c r="G78" t="s">
        <v>297</v>
      </c>
    </row>
    <row r="79" spans="1:7" x14ac:dyDescent="0.3">
      <c r="A79" t="s">
        <v>846</v>
      </c>
      <c r="B79" t="s">
        <v>847</v>
      </c>
      <c r="C79" t="s">
        <v>327</v>
      </c>
      <c r="D79" t="s">
        <v>219</v>
      </c>
      <c r="E79">
        <v>0</v>
      </c>
      <c r="F79">
        <v>0</v>
      </c>
      <c r="G79" t="s">
        <v>302</v>
      </c>
    </row>
    <row r="80" spans="1:7" x14ac:dyDescent="0.3">
      <c r="A80" t="s">
        <v>871</v>
      </c>
      <c r="B80" t="s">
        <v>872</v>
      </c>
      <c r="C80" t="s">
        <v>25</v>
      </c>
      <c r="D80" t="s">
        <v>659</v>
      </c>
      <c r="E80">
        <v>0</v>
      </c>
      <c r="F80">
        <v>0</v>
      </c>
      <c r="G80" t="s">
        <v>306</v>
      </c>
    </row>
    <row r="81" spans="1:7" x14ac:dyDescent="0.3">
      <c r="A81" t="s">
        <v>874</v>
      </c>
      <c r="B81" t="s">
        <v>875</v>
      </c>
      <c r="C81" t="s">
        <v>40</v>
      </c>
      <c r="D81" t="s">
        <v>36</v>
      </c>
      <c r="E81">
        <v>0</v>
      </c>
      <c r="F81">
        <v>0</v>
      </c>
      <c r="G81" t="s">
        <v>309</v>
      </c>
    </row>
    <row r="82" spans="1:7" x14ac:dyDescent="0.3">
      <c r="A82" t="s">
        <v>877</v>
      </c>
      <c r="B82" t="s">
        <v>878</v>
      </c>
      <c r="C82" t="s">
        <v>207</v>
      </c>
      <c r="D82" t="s">
        <v>62</v>
      </c>
      <c r="E82">
        <v>0</v>
      </c>
      <c r="F82">
        <v>0</v>
      </c>
      <c r="G82" t="s">
        <v>313</v>
      </c>
    </row>
    <row r="83" spans="1:7" x14ac:dyDescent="0.3">
      <c r="A83" t="s">
        <v>888</v>
      </c>
      <c r="B83" t="s">
        <v>889</v>
      </c>
      <c r="C83" t="s">
        <v>110</v>
      </c>
      <c r="D83" t="s">
        <v>36</v>
      </c>
      <c r="E83">
        <v>0</v>
      </c>
      <c r="F83">
        <v>0</v>
      </c>
      <c r="G83" t="s">
        <v>316</v>
      </c>
    </row>
    <row r="84" spans="1:7" x14ac:dyDescent="0.3">
      <c r="A84" t="s">
        <v>894</v>
      </c>
      <c r="B84" t="s">
        <v>895</v>
      </c>
      <c r="C84" t="s">
        <v>145</v>
      </c>
      <c r="D84" t="s">
        <v>124</v>
      </c>
      <c r="E84">
        <v>0</v>
      </c>
      <c r="F84">
        <v>0</v>
      </c>
      <c r="G84" t="s">
        <v>320</v>
      </c>
    </row>
    <row r="85" spans="1:7" x14ac:dyDescent="0.3">
      <c r="A85" t="s">
        <v>897</v>
      </c>
      <c r="B85" t="s">
        <v>898</v>
      </c>
      <c r="C85" t="s">
        <v>167</v>
      </c>
      <c r="D85" t="s">
        <v>124</v>
      </c>
      <c r="E85">
        <v>0</v>
      </c>
      <c r="F85">
        <v>0</v>
      </c>
      <c r="G85" t="s">
        <v>324</v>
      </c>
    </row>
    <row r="86" spans="1:7" x14ac:dyDescent="0.3">
      <c r="A86" t="s">
        <v>950</v>
      </c>
      <c r="B86" t="s">
        <v>951</v>
      </c>
      <c r="C86" t="s">
        <v>952</v>
      </c>
      <c r="D86" t="s">
        <v>953</v>
      </c>
      <c r="E86">
        <v>0</v>
      </c>
      <c r="F86">
        <v>0</v>
      </c>
      <c r="G86" t="s">
        <v>332</v>
      </c>
    </row>
    <row r="87" spans="1:7" x14ac:dyDescent="0.3">
      <c r="A87" t="s">
        <v>955</v>
      </c>
      <c r="B87" t="s">
        <v>956</v>
      </c>
      <c r="C87" t="s">
        <v>957</v>
      </c>
      <c r="D87" t="s">
        <v>947</v>
      </c>
      <c r="E87">
        <v>0</v>
      </c>
      <c r="F87">
        <v>0</v>
      </c>
      <c r="G87" t="s">
        <v>335</v>
      </c>
    </row>
    <row r="88" spans="1:7" x14ac:dyDescent="0.3">
      <c r="A88" t="s">
        <v>964</v>
      </c>
      <c r="B88" t="s">
        <v>965</v>
      </c>
      <c r="C88" t="s">
        <v>435</v>
      </c>
      <c r="D88" t="s">
        <v>966</v>
      </c>
      <c r="E88">
        <v>0</v>
      </c>
      <c r="F88">
        <v>0</v>
      </c>
      <c r="G88" t="s">
        <v>338</v>
      </c>
    </row>
    <row r="89" spans="1:7" x14ac:dyDescent="0.3">
      <c r="A89" t="s">
        <v>968</v>
      </c>
      <c r="B89" t="s">
        <v>969</v>
      </c>
      <c r="C89" t="s">
        <v>970</v>
      </c>
      <c r="D89" t="s">
        <v>971</v>
      </c>
      <c r="E89">
        <v>0</v>
      </c>
      <c r="F89">
        <v>0</v>
      </c>
      <c r="G89" t="s">
        <v>342</v>
      </c>
    </row>
    <row r="90" spans="1:7" x14ac:dyDescent="0.3">
      <c r="A90" t="s">
        <v>253</v>
      </c>
      <c r="B90" t="s">
        <v>254</v>
      </c>
      <c r="C90" t="s">
        <v>20</v>
      </c>
      <c r="D90" t="s">
        <v>31</v>
      </c>
      <c r="E90">
        <v>1.0000000000000001E-5</v>
      </c>
      <c r="F90">
        <v>1.0000000000000001E-5</v>
      </c>
      <c r="G90" t="s">
        <v>371</v>
      </c>
    </row>
    <row r="91" spans="1:7" x14ac:dyDescent="0.3">
      <c r="A91" t="s">
        <v>314</v>
      </c>
      <c r="B91" t="s">
        <v>315</v>
      </c>
      <c r="C91" t="s">
        <v>110</v>
      </c>
      <c r="D91" t="s">
        <v>168</v>
      </c>
      <c r="E91">
        <v>1.0000000000000001E-5</v>
      </c>
      <c r="F91">
        <v>1.0000000000000001E-5</v>
      </c>
      <c r="G91" t="s">
        <v>374</v>
      </c>
    </row>
    <row r="92" spans="1:7" x14ac:dyDescent="0.3">
      <c r="A92" t="s">
        <v>403</v>
      </c>
      <c r="B92" t="s">
        <v>404</v>
      </c>
      <c r="C92" t="s">
        <v>233</v>
      </c>
      <c r="D92" t="s">
        <v>401</v>
      </c>
      <c r="E92">
        <v>1.0000000000000001E-5</v>
      </c>
      <c r="F92">
        <v>1.0000000000000001E-5</v>
      </c>
      <c r="G92" t="s">
        <v>365</v>
      </c>
    </row>
    <row r="93" spans="1:7" x14ac:dyDescent="0.3">
      <c r="A93" t="s">
        <v>619</v>
      </c>
      <c r="B93" t="s">
        <v>620</v>
      </c>
      <c r="C93" t="s">
        <v>215</v>
      </c>
      <c r="D93" t="s">
        <v>345</v>
      </c>
      <c r="E93">
        <v>1.0000000000000001E-5</v>
      </c>
      <c r="F93">
        <v>1.0000000000000001E-5</v>
      </c>
      <c r="G93" t="s">
        <v>379</v>
      </c>
    </row>
    <row r="94" spans="1:7" x14ac:dyDescent="0.3">
      <c r="A94" t="s">
        <v>686</v>
      </c>
      <c r="B94" t="s">
        <v>687</v>
      </c>
      <c r="C94" t="s">
        <v>10</v>
      </c>
      <c r="D94" t="s">
        <v>156</v>
      </c>
      <c r="E94">
        <v>1.0000000000000001E-5</v>
      </c>
      <c r="F94">
        <v>1.0000000000000001E-5</v>
      </c>
      <c r="G94" t="s">
        <v>382</v>
      </c>
    </row>
    <row r="95" spans="1:7" x14ac:dyDescent="0.3">
      <c r="A95" t="s">
        <v>837</v>
      </c>
      <c r="B95" t="s">
        <v>838</v>
      </c>
      <c r="C95" t="s">
        <v>110</v>
      </c>
      <c r="D95" t="s">
        <v>168</v>
      </c>
      <c r="E95">
        <v>1.0000000000000001E-5</v>
      </c>
      <c r="F95">
        <v>1.0000000000000001E-5</v>
      </c>
      <c r="G95" t="s">
        <v>382</v>
      </c>
    </row>
    <row r="96" spans="1:7" x14ac:dyDescent="0.3">
      <c r="A96" t="s">
        <v>880</v>
      </c>
      <c r="B96" t="s">
        <v>881</v>
      </c>
      <c r="C96" t="s">
        <v>57</v>
      </c>
      <c r="D96" t="s">
        <v>193</v>
      </c>
      <c r="E96">
        <v>1.0000000000000001E-5</v>
      </c>
      <c r="F96">
        <v>1.0000000000000001E-5</v>
      </c>
      <c r="G96" t="s">
        <v>387</v>
      </c>
    </row>
    <row r="97" spans="1:7" x14ac:dyDescent="0.3">
      <c r="A97" t="s">
        <v>1031</v>
      </c>
      <c r="B97" t="s">
        <v>1032</v>
      </c>
      <c r="C97" t="s">
        <v>40</v>
      </c>
      <c r="D97" t="s">
        <v>45</v>
      </c>
      <c r="E97">
        <v>1.0000000000000001E-5</v>
      </c>
      <c r="F97">
        <v>1.0000000000000001E-5</v>
      </c>
      <c r="G97" t="s">
        <v>390</v>
      </c>
    </row>
    <row r="98" spans="1:7" x14ac:dyDescent="0.3">
      <c r="A98" t="s">
        <v>67</v>
      </c>
      <c r="B98" t="s">
        <v>68</v>
      </c>
      <c r="C98" t="s">
        <v>20</v>
      </c>
      <c r="D98" t="s">
        <v>26</v>
      </c>
      <c r="E98">
        <v>2.0000000000000002E-5</v>
      </c>
      <c r="F98">
        <v>2.0000000000000002E-5</v>
      </c>
      <c r="G98" t="s">
        <v>393</v>
      </c>
    </row>
    <row r="99" spans="1:7" x14ac:dyDescent="0.3">
      <c r="A99" t="s">
        <v>849</v>
      </c>
      <c r="B99" t="s">
        <v>850</v>
      </c>
      <c r="C99" t="s">
        <v>40</v>
      </c>
      <c r="D99" t="s">
        <v>128</v>
      </c>
      <c r="E99">
        <v>3.0000000000000001E-5</v>
      </c>
      <c r="F99">
        <v>3.0000000000000001E-5</v>
      </c>
      <c r="G99" t="s">
        <v>360</v>
      </c>
    </row>
    <row r="100" spans="1:7" x14ac:dyDescent="0.3">
      <c r="A100" t="s">
        <v>1074</v>
      </c>
      <c r="B100" t="s">
        <v>1075</v>
      </c>
      <c r="C100" t="s">
        <v>167</v>
      </c>
      <c r="D100" t="s">
        <v>203</v>
      </c>
      <c r="E100">
        <v>3.0000000000000001E-5</v>
      </c>
      <c r="F100">
        <v>3.0000000000000001E-5</v>
      </c>
      <c r="G100" t="s">
        <v>398</v>
      </c>
    </row>
    <row r="101" spans="1:7" x14ac:dyDescent="0.3">
      <c r="A101" s="3" t="s">
        <v>28</v>
      </c>
      <c r="B101" s="3" t="s">
        <v>29</v>
      </c>
      <c r="C101" s="3" t="s">
        <v>30</v>
      </c>
      <c r="D101" s="3" t="s">
        <v>31</v>
      </c>
      <c r="E101" s="3">
        <v>4.0000000000000003E-5</v>
      </c>
      <c r="F101" s="3">
        <v>4.0000000000000003E-5</v>
      </c>
      <c r="G101" t="s">
        <v>402</v>
      </c>
    </row>
    <row r="102" spans="1:7" x14ac:dyDescent="0.3">
      <c r="A102" t="s">
        <v>121</v>
      </c>
      <c r="B102" t="s">
        <v>122</v>
      </c>
      <c r="C102" t="s">
        <v>123</v>
      </c>
      <c r="D102" t="s">
        <v>124</v>
      </c>
      <c r="E102">
        <v>4.0000000000000003E-5</v>
      </c>
      <c r="F102">
        <v>4.0000000000000003E-5</v>
      </c>
      <c r="G102" t="s">
        <v>405</v>
      </c>
    </row>
    <row r="103" spans="1:7" x14ac:dyDescent="0.3">
      <c r="A103" t="s">
        <v>271</v>
      </c>
      <c r="B103" t="s">
        <v>272</v>
      </c>
      <c r="C103" t="s">
        <v>123</v>
      </c>
      <c r="D103" t="s">
        <v>124</v>
      </c>
      <c r="E103">
        <v>4.0000000000000003E-5</v>
      </c>
      <c r="F103">
        <v>4.0000000000000003E-5</v>
      </c>
      <c r="G103" t="s">
        <v>408</v>
      </c>
    </row>
    <row r="104" spans="1:7" x14ac:dyDescent="0.3">
      <c r="A104" t="s">
        <v>350</v>
      </c>
      <c r="B104" t="s">
        <v>351</v>
      </c>
      <c r="C104" t="s">
        <v>123</v>
      </c>
      <c r="D104" t="s">
        <v>124</v>
      </c>
      <c r="E104">
        <v>4.0000000000000003E-5</v>
      </c>
      <c r="F104">
        <v>4.0000000000000003E-5</v>
      </c>
      <c r="G104" t="s">
        <v>411</v>
      </c>
    </row>
    <row r="105" spans="1:7" x14ac:dyDescent="0.3">
      <c r="A105" t="s">
        <v>713</v>
      </c>
      <c r="B105" t="s">
        <v>714</v>
      </c>
      <c r="C105" t="s">
        <v>57</v>
      </c>
      <c r="D105" t="s">
        <v>41</v>
      </c>
      <c r="E105">
        <v>4.0000000000000003E-5</v>
      </c>
      <c r="F105">
        <v>4.0000000000000003E-5</v>
      </c>
      <c r="G105" t="s">
        <v>387</v>
      </c>
    </row>
    <row r="106" spans="1:7" x14ac:dyDescent="0.3">
      <c r="A106" t="s">
        <v>748</v>
      </c>
      <c r="B106" t="s">
        <v>749</v>
      </c>
      <c r="C106" t="s">
        <v>57</v>
      </c>
      <c r="D106" t="s">
        <v>41</v>
      </c>
      <c r="E106">
        <v>4.0000000000000003E-5</v>
      </c>
      <c r="F106">
        <v>4.0000000000000003E-5</v>
      </c>
      <c r="G106" t="s">
        <v>417</v>
      </c>
    </row>
    <row r="107" spans="1:7" x14ac:dyDescent="0.3">
      <c r="A107" t="s">
        <v>983</v>
      </c>
      <c r="B107" t="s">
        <v>984</v>
      </c>
      <c r="C107" t="s">
        <v>30</v>
      </c>
      <c r="D107" t="s">
        <v>31</v>
      </c>
      <c r="E107">
        <v>4.0000000000000003E-5</v>
      </c>
      <c r="F107">
        <v>4.0000000000000003E-5</v>
      </c>
      <c r="G107" t="s">
        <v>422</v>
      </c>
    </row>
    <row r="108" spans="1:7" x14ac:dyDescent="0.3">
      <c r="A108" t="s">
        <v>989</v>
      </c>
      <c r="B108" t="s">
        <v>990</v>
      </c>
      <c r="C108" t="s">
        <v>123</v>
      </c>
      <c r="D108" t="s">
        <v>124</v>
      </c>
      <c r="E108">
        <v>4.0000000000000003E-5</v>
      </c>
      <c r="F108">
        <v>4.0000000000000003E-5</v>
      </c>
      <c r="G108" t="s">
        <v>427</v>
      </c>
    </row>
    <row r="109" spans="1:7" x14ac:dyDescent="0.3">
      <c r="A109" t="s">
        <v>339</v>
      </c>
      <c r="B109" t="s">
        <v>340</v>
      </c>
      <c r="C109" t="s">
        <v>327</v>
      </c>
      <c r="D109" t="s">
        <v>341</v>
      </c>
      <c r="E109">
        <v>5.0000000000000002E-5</v>
      </c>
      <c r="F109">
        <v>5.0000000000000002E-5</v>
      </c>
      <c r="G109" t="s">
        <v>432</v>
      </c>
    </row>
    <row r="110" spans="1:7" x14ac:dyDescent="0.3">
      <c r="A110" t="s">
        <v>505</v>
      </c>
      <c r="B110" t="s">
        <v>506</v>
      </c>
      <c r="C110" t="s">
        <v>15</v>
      </c>
      <c r="D110" t="s">
        <v>401</v>
      </c>
      <c r="E110">
        <v>5.0000000000000002E-5</v>
      </c>
      <c r="F110">
        <v>5.0000000000000002E-5</v>
      </c>
      <c r="G110" t="s">
        <v>437</v>
      </c>
    </row>
    <row r="111" spans="1:7" x14ac:dyDescent="0.3">
      <c r="A111" t="s">
        <v>579</v>
      </c>
      <c r="B111" t="s">
        <v>580</v>
      </c>
      <c r="C111" t="s">
        <v>207</v>
      </c>
      <c r="D111" t="s">
        <v>319</v>
      </c>
      <c r="E111">
        <v>5.0000000000000002E-5</v>
      </c>
      <c r="F111">
        <v>5.0000000000000002E-5</v>
      </c>
      <c r="G111" t="s">
        <v>440</v>
      </c>
    </row>
    <row r="112" spans="1:7" x14ac:dyDescent="0.3">
      <c r="A112" t="s">
        <v>657</v>
      </c>
      <c r="B112" t="s">
        <v>658</v>
      </c>
      <c r="C112" t="s">
        <v>215</v>
      </c>
      <c r="D112" t="s">
        <v>659</v>
      </c>
      <c r="E112">
        <v>5.0000000000000002E-5</v>
      </c>
      <c r="F112">
        <v>5.0000000000000002E-5</v>
      </c>
      <c r="G112" t="s">
        <v>443</v>
      </c>
    </row>
    <row r="113" spans="1:7" x14ac:dyDescent="0.3">
      <c r="A113" t="s">
        <v>781</v>
      </c>
      <c r="B113" t="s">
        <v>782</v>
      </c>
      <c r="C113" t="s">
        <v>207</v>
      </c>
      <c r="D113" t="s">
        <v>319</v>
      </c>
      <c r="E113">
        <v>5.0000000000000002E-5</v>
      </c>
      <c r="F113">
        <v>5.0000000000000002E-5</v>
      </c>
      <c r="G113" t="s">
        <v>447</v>
      </c>
    </row>
    <row r="114" spans="1:7" x14ac:dyDescent="0.3">
      <c r="A114" t="s">
        <v>1055</v>
      </c>
      <c r="B114" t="s">
        <v>1056</v>
      </c>
      <c r="C114" t="s">
        <v>327</v>
      </c>
      <c r="D114" t="s">
        <v>341</v>
      </c>
      <c r="E114">
        <v>5.0000000000000002E-5</v>
      </c>
      <c r="F114">
        <v>5.0000000000000002E-5</v>
      </c>
      <c r="G114" t="s">
        <v>452</v>
      </c>
    </row>
    <row r="115" spans="1:7" x14ac:dyDescent="0.3">
      <c r="A115" t="s">
        <v>1123</v>
      </c>
      <c r="B115" t="s">
        <v>1124</v>
      </c>
      <c r="C115" t="s">
        <v>207</v>
      </c>
      <c r="D115" t="s">
        <v>319</v>
      </c>
      <c r="E115">
        <v>5.0000000000000002E-5</v>
      </c>
      <c r="F115">
        <v>5.0000000000000002E-5</v>
      </c>
      <c r="G115" t="s">
        <v>455</v>
      </c>
    </row>
    <row r="116" spans="1:7" x14ac:dyDescent="0.3">
      <c r="A116" t="s">
        <v>60</v>
      </c>
      <c r="B116" t="s">
        <v>61</v>
      </c>
      <c r="C116" t="s">
        <v>35</v>
      </c>
      <c r="D116" t="s">
        <v>62</v>
      </c>
      <c r="E116">
        <v>6.0000000000000002E-5</v>
      </c>
      <c r="F116">
        <v>6.0000000000000002E-5</v>
      </c>
      <c r="G116" t="s">
        <v>460</v>
      </c>
    </row>
    <row r="117" spans="1:7" x14ac:dyDescent="0.3">
      <c r="A117" t="s">
        <v>103</v>
      </c>
      <c r="B117" t="s">
        <v>104</v>
      </c>
      <c r="C117" t="s">
        <v>105</v>
      </c>
      <c r="D117" t="s">
        <v>106</v>
      </c>
      <c r="E117">
        <v>6.0000000000000002E-5</v>
      </c>
      <c r="F117">
        <v>6.0000000000000002E-5</v>
      </c>
      <c r="G117" t="s">
        <v>463</v>
      </c>
    </row>
    <row r="118" spans="1:7" x14ac:dyDescent="0.3">
      <c r="A118" t="s">
        <v>288</v>
      </c>
      <c r="B118" t="s">
        <v>289</v>
      </c>
      <c r="C118" t="s">
        <v>35</v>
      </c>
      <c r="D118" t="s">
        <v>62</v>
      </c>
      <c r="E118">
        <v>6.0000000000000002E-5</v>
      </c>
      <c r="F118">
        <v>6.0000000000000002E-5</v>
      </c>
      <c r="G118" t="s">
        <v>466</v>
      </c>
    </row>
    <row r="119" spans="1:7" x14ac:dyDescent="0.3">
      <c r="A119" t="s">
        <v>464</v>
      </c>
      <c r="B119" t="s">
        <v>465</v>
      </c>
      <c r="C119" t="s">
        <v>35</v>
      </c>
      <c r="D119" t="s">
        <v>62</v>
      </c>
      <c r="E119">
        <v>6.0000000000000002E-5</v>
      </c>
      <c r="F119">
        <v>6.0000000000000002E-5</v>
      </c>
      <c r="G119" t="s">
        <v>469</v>
      </c>
    </row>
    <row r="120" spans="1:7" x14ac:dyDescent="0.3">
      <c r="A120" t="s">
        <v>321</v>
      </c>
      <c r="B120" t="s">
        <v>322</v>
      </c>
      <c r="C120" t="s">
        <v>25</v>
      </c>
      <c r="D120" t="s">
        <v>323</v>
      </c>
      <c r="E120">
        <v>8.0000000000000007E-5</v>
      </c>
      <c r="F120">
        <v>8.0000000000000007E-5</v>
      </c>
      <c r="G120" t="s">
        <v>472</v>
      </c>
    </row>
    <row r="121" spans="1:7" x14ac:dyDescent="0.3">
      <c r="A121" t="s">
        <v>1068</v>
      </c>
      <c r="B121" t="s">
        <v>1069</v>
      </c>
      <c r="C121" t="s">
        <v>20</v>
      </c>
      <c r="D121" t="s">
        <v>160</v>
      </c>
      <c r="E121">
        <v>8.0000000000000007E-5</v>
      </c>
      <c r="F121">
        <v>8.0000000000000007E-5</v>
      </c>
      <c r="G121" t="s">
        <v>475</v>
      </c>
    </row>
    <row r="122" spans="1:7" x14ac:dyDescent="0.3">
      <c r="A122" t="s">
        <v>567</v>
      </c>
      <c r="B122" t="s">
        <v>568</v>
      </c>
      <c r="C122" t="s">
        <v>40</v>
      </c>
      <c r="D122" t="s">
        <v>168</v>
      </c>
      <c r="E122">
        <v>1.1E-4</v>
      </c>
      <c r="F122">
        <v>1.1E-4</v>
      </c>
      <c r="G122" t="s">
        <v>478</v>
      </c>
    </row>
    <row r="123" spans="1:7" x14ac:dyDescent="0.3">
      <c r="A123" t="s">
        <v>631</v>
      </c>
      <c r="B123" t="s">
        <v>632</v>
      </c>
      <c r="C123" t="s">
        <v>167</v>
      </c>
      <c r="D123" t="s">
        <v>633</v>
      </c>
      <c r="E123">
        <v>1.1E-4</v>
      </c>
      <c r="F123">
        <v>1.1E-4</v>
      </c>
      <c r="G123" t="s">
        <v>482</v>
      </c>
    </row>
    <row r="124" spans="1:7" x14ac:dyDescent="0.3">
      <c r="A124" t="s">
        <v>680</v>
      </c>
      <c r="B124" t="s">
        <v>681</v>
      </c>
      <c r="C124" t="s">
        <v>40</v>
      </c>
      <c r="D124" t="s">
        <v>168</v>
      </c>
      <c r="E124">
        <v>1.1E-4</v>
      </c>
      <c r="F124">
        <v>1.1E-4</v>
      </c>
      <c r="G124" t="s">
        <v>487</v>
      </c>
    </row>
    <row r="125" spans="1:7" x14ac:dyDescent="0.3">
      <c r="A125" t="s">
        <v>740</v>
      </c>
      <c r="B125" t="s">
        <v>741</v>
      </c>
      <c r="C125" t="s">
        <v>167</v>
      </c>
      <c r="D125" t="s">
        <v>633</v>
      </c>
      <c r="E125">
        <v>1.1E-4</v>
      </c>
      <c r="F125">
        <v>1.1E-4</v>
      </c>
      <c r="G125" t="s">
        <v>491</v>
      </c>
    </row>
    <row r="126" spans="1:7" x14ac:dyDescent="0.3">
      <c r="A126" t="s">
        <v>1040</v>
      </c>
      <c r="B126" t="s">
        <v>1041</v>
      </c>
      <c r="C126" t="s">
        <v>167</v>
      </c>
      <c r="D126" t="s">
        <v>633</v>
      </c>
      <c r="E126">
        <v>1.1E-4</v>
      </c>
      <c r="F126">
        <v>1.1E-4</v>
      </c>
      <c r="G126" t="s">
        <v>494</v>
      </c>
    </row>
    <row r="127" spans="1:7" x14ac:dyDescent="0.3">
      <c r="A127" t="s">
        <v>406</v>
      </c>
      <c r="B127" t="s">
        <v>407</v>
      </c>
      <c r="C127" t="s">
        <v>15</v>
      </c>
      <c r="D127" t="s">
        <v>345</v>
      </c>
      <c r="E127">
        <v>1.2999999999999999E-4</v>
      </c>
      <c r="F127">
        <v>1.2999999999999999E-4</v>
      </c>
      <c r="G127" t="s">
        <v>498</v>
      </c>
    </row>
    <row r="128" spans="1:7" x14ac:dyDescent="0.3">
      <c r="A128" t="s">
        <v>998</v>
      </c>
      <c r="B128" t="s">
        <v>999</v>
      </c>
      <c r="C128" t="s">
        <v>84</v>
      </c>
      <c r="D128" t="s">
        <v>1000</v>
      </c>
      <c r="E128">
        <v>1.2999999999999999E-4</v>
      </c>
      <c r="F128">
        <v>1.2999999999999999E-4</v>
      </c>
      <c r="G128" t="s">
        <v>501</v>
      </c>
    </row>
    <row r="129" spans="1:7" x14ac:dyDescent="0.3">
      <c r="A129" t="s">
        <v>683</v>
      </c>
      <c r="B129" t="s">
        <v>684</v>
      </c>
      <c r="C129" t="s">
        <v>92</v>
      </c>
      <c r="D129" t="s">
        <v>305</v>
      </c>
      <c r="E129">
        <v>1.3999999999999999E-4</v>
      </c>
      <c r="F129">
        <v>1.3999999999999999E-4</v>
      </c>
      <c r="G129" t="s">
        <v>504</v>
      </c>
    </row>
    <row r="130" spans="1:7" x14ac:dyDescent="0.3">
      <c r="A130" t="s">
        <v>582</v>
      </c>
      <c r="B130" t="s">
        <v>583</v>
      </c>
      <c r="C130" t="s">
        <v>110</v>
      </c>
      <c r="D130" t="s">
        <v>193</v>
      </c>
      <c r="E130">
        <v>1.6000000000000001E-4</v>
      </c>
      <c r="F130">
        <v>1.6000000000000001E-4</v>
      </c>
      <c r="G130" t="s">
        <v>507</v>
      </c>
    </row>
    <row r="131" spans="1:7" x14ac:dyDescent="0.3">
      <c r="A131" t="s">
        <v>793</v>
      </c>
      <c r="B131" t="s">
        <v>794</v>
      </c>
      <c r="C131" t="s">
        <v>110</v>
      </c>
      <c r="D131" t="s">
        <v>193</v>
      </c>
      <c r="E131">
        <v>1.6000000000000001E-4</v>
      </c>
      <c r="F131">
        <v>1.6000000000000001E-4</v>
      </c>
      <c r="G131" t="s">
        <v>512</v>
      </c>
    </row>
    <row r="132" spans="1:7" x14ac:dyDescent="0.3">
      <c r="A132" t="s">
        <v>796</v>
      </c>
      <c r="B132" t="s">
        <v>797</v>
      </c>
      <c r="C132" t="s">
        <v>110</v>
      </c>
      <c r="D132" t="s">
        <v>193</v>
      </c>
      <c r="E132">
        <v>1.6000000000000001E-4</v>
      </c>
      <c r="F132">
        <v>1.6000000000000001E-4</v>
      </c>
      <c r="G132" t="s">
        <v>515</v>
      </c>
    </row>
    <row r="133" spans="1:7" x14ac:dyDescent="0.3">
      <c r="A133" t="s">
        <v>441</v>
      </c>
      <c r="B133" t="s">
        <v>442</v>
      </c>
      <c r="C133" t="s">
        <v>300</v>
      </c>
      <c r="D133" t="s">
        <v>53</v>
      </c>
      <c r="E133">
        <v>1.8000000000000001E-4</v>
      </c>
      <c r="F133">
        <v>1.8000000000000001E-4</v>
      </c>
      <c r="G133" t="s">
        <v>518</v>
      </c>
    </row>
    <row r="134" spans="1:7" x14ac:dyDescent="0.3">
      <c r="A134" t="s">
        <v>228</v>
      </c>
      <c r="B134" t="s">
        <v>229</v>
      </c>
      <c r="C134" t="s">
        <v>57</v>
      </c>
      <c r="D134" t="s">
        <v>136</v>
      </c>
      <c r="E134">
        <v>2.0000000000000001E-4</v>
      </c>
      <c r="F134">
        <v>2.0000000000000001E-4</v>
      </c>
      <c r="G134" t="s">
        <v>521</v>
      </c>
    </row>
    <row r="135" spans="1:7" x14ac:dyDescent="0.3">
      <c r="A135" t="s">
        <v>285</v>
      </c>
      <c r="B135" t="s">
        <v>286</v>
      </c>
      <c r="C135" t="s">
        <v>35</v>
      </c>
      <c r="D135" t="s">
        <v>203</v>
      </c>
      <c r="E135">
        <v>2.2000000000000001E-4</v>
      </c>
      <c r="F135">
        <v>2.2000000000000001E-4</v>
      </c>
      <c r="G135" t="s">
        <v>524</v>
      </c>
    </row>
    <row r="136" spans="1:7" x14ac:dyDescent="0.3">
      <c r="A136" t="s">
        <v>516</v>
      </c>
      <c r="B136" t="s">
        <v>517</v>
      </c>
      <c r="C136" t="s">
        <v>35</v>
      </c>
      <c r="D136" t="s">
        <v>203</v>
      </c>
      <c r="E136">
        <v>2.2000000000000001E-4</v>
      </c>
      <c r="F136">
        <v>2.2000000000000001E-4</v>
      </c>
      <c r="G136" t="s">
        <v>527</v>
      </c>
    </row>
    <row r="137" spans="1:7" x14ac:dyDescent="0.3">
      <c r="A137" t="s">
        <v>1002</v>
      </c>
      <c r="B137" t="s">
        <v>1003</v>
      </c>
      <c r="C137" t="s">
        <v>490</v>
      </c>
      <c r="D137" t="s">
        <v>1004</v>
      </c>
      <c r="E137">
        <v>2.2000000000000001E-4</v>
      </c>
      <c r="F137">
        <v>2.2000000000000001E-4</v>
      </c>
      <c r="G137" t="s">
        <v>530</v>
      </c>
    </row>
    <row r="138" spans="1:7" x14ac:dyDescent="0.3">
      <c r="A138" t="s">
        <v>677</v>
      </c>
      <c r="B138" t="s">
        <v>678</v>
      </c>
      <c r="C138" t="s">
        <v>189</v>
      </c>
      <c r="D138" t="s">
        <v>341</v>
      </c>
      <c r="E138">
        <v>2.4000000000000001E-4</v>
      </c>
      <c r="F138">
        <v>2.4000000000000001E-4</v>
      </c>
      <c r="G138" t="s">
        <v>533</v>
      </c>
    </row>
    <row r="139" spans="1:7" x14ac:dyDescent="0.3">
      <c r="A139" t="s">
        <v>573</v>
      </c>
      <c r="B139" t="s">
        <v>574</v>
      </c>
      <c r="C139" t="s">
        <v>145</v>
      </c>
      <c r="D139" t="s">
        <v>128</v>
      </c>
      <c r="E139">
        <v>2.7999999999999998E-4</v>
      </c>
      <c r="F139">
        <v>2.7999999999999998E-4</v>
      </c>
      <c r="G139" t="s">
        <v>537</v>
      </c>
    </row>
    <row r="140" spans="1:7" x14ac:dyDescent="0.3">
      <c r="A140" t="s">
        <v>710</v>
      </c>
      <c r="B140" t="s">
        <v>711</v>
      </c>
      <c r="C140" t="s">
        <v>145</v>
      </c>
      <c r="D140" t="s">
        <v>128</v>
      </c>
      <c r="E140">
        <v>2.7999999999999998E-4</v>
      </c>
      <c r="F140">
        <v>2.7999999999999998E-4</v>
      </c>
      <c r="G140" t="s">
        <v>540</v>
      </c>
    </row>
    <row r="141" spans="1:7" x14ac:dyDescent="0.3">
      <c r="A141" t="s">
        <v>745</v>
      </c>
      <c r="B141" t="s">
        <v>746</v>
      </c>
      <c r="C141" t="s">
        <v>145</v>
      </c>
      <c r="D141" t="s">
        <v>128</v>
      </c>
      <c r="E141">
        <v>2.7999999999999998E-4</v>
      </c>
      <c r="F141">
        <v>2.7999999999999998E-4</v>
      </c>
      <c r="G141" t="s">
        <v>543</v>
      </c>
    </row>
    <row r="142" spans="1:7" x14ac:dyDescent="0.3">
      <c r="A142" t="s">
        <v>158</v>
      </c>
      <c r="B142" t="s">
        <v>159</v>
      </c>
      <c r="C142" t="s">
        <v>30</v>
      </c>
      <c r="D142" t="s">
        <v>160</v>
      </c>
      <c r="E142">
        <v>4.2000000000000002E-4</v>
      </c>
      <c r="F142">
        <v>4.2000000000000002E-4</v>
      </c>
      <c r="G142" t="s">
        <v>546</v>
      </c>
    </row>
    <row r="143" spans="1:7" x14ac:dyDescent="0.3">
      <c r="A143" t="s">
        <v>412</v>
      </c>
      <c r="B143" t="s">
        <v>413</v>
      </c>
      <c r="C143" t="s">
        <v>40</v>
      </c>
      <c r="D143" t="s">
        <v>414</v>
      </c>
      <c r="E143">
        <v>4.4999999999999999E-4</v>
      </c>
      <c r="F143">
        <v>4.4999999999999999E-4</v>
      </c>
      <c r="G143" t="s">
        <v>549</v>
      </c>
    </row>
    <row r="144" spans="1:7" x14ac:dyDescent="0.3">
      <c r="A144" t="s">
        <v>692</v>
      </c>
      <c r="B144" s="3" t="s">
        <v>693</v>
      </c>
      <c r="C144" t="s">
        <v>40</v>
      </c>
      <c r="D144" t="s">
        <v>414</v>
      </c>
      <c r="E144">
        <v>4.4999999999999999E-4</v>
      </c>
      <c r="F144">
        <v>4.4999999999999999E-4</v>
      </c>
      <c r="G144" t="s">
        <v>552</v>
      </c>
    </row>
    <row r="145" spans="1:7" x14ac:dyDescent="0.3">
      <c r="A145" t="s">
        <v>731</v>
      </c>
      <c r="B145" t="s">
        <v>732</v>
      </c>
      <c r="C145" t="s">
        <v>40</v>
      </c>
      <c r="D145" t="s">
        <v>414</v>
      </c>
      <c r="E145">
        <v>4.4999999999999999E-4</v>
      </c>
      <c r="F145">
        <v>4.4999999999999999E-4</v>
      </c>
      <c r="G145" t="s">
        <v>557</v>
      </c>
    </row>
    <row r="146" spans="1:7" x14ac:dyDescent="0.3">
      <c r="A146" t="s">
        <v>737</v>
      </c>
      <c r="B146" t="s">
        <v>738</v>
      </c>
      <c r="C146" t="s">
        <v>40</v>
      </c>
      <c r="D146" t="s">
        <v>414</v>
      </c>
      <c r="E146">
        <v>4.4999999999999999E-4</v>
      </c>
      <c r="F146">
        <v>4.4999999999999999E-4</v>
      </c>
      <c r="G146" t="s">
        <v>560</v>
      </c>
    </row>
    <row r="147" spans="1:7" x14ac:dyDescent="0.3">
      <c r="A147" t="s">
        <v>935</v>
      </c>
      <c r="B147" t="s">
        <v>936</v>
      </c>
      <c r="C147" t="s">
        <v>40</v>
      </c>
      <c r="D147" t="s">
        <v>414</v>
      </c>
      <c r="E147">
        <v>4.4999999999999999E-4</v>
      </c>
      <c r="F147">
        <v>4.4999999999999999E-4</v>
      </c>
      <c r="G147" t="s">
        <v>563</v>
      </c>
    </row>
    <row r="148" spans="1:7" x14ac:dyDescent="0.3">
      <c r="A148" t="s">
        <v>1091</v>
      </c>
      <c r="B148" t="s">
        <v>1092</v>
      </c>
      <c r="C148" t="s">
        <v>40</v>
      </c>
      <c r="D148" t="s">
        <v>414</v>
      </c>
      <c r="E148">
        <v>4.4999999999999999E-4</v>
      </c>
      <c r="F148">
        <v>4.4999999999999999E-4</v>
      </c>
      <c r="G148" t="s">
        <v>566</v>
      </c>
    </row>
    <row r="149" spans="1:7" x14ac:dyDescent="0.3">
      <c r="A149" t="s">
        <v>689</v>
      </c>
      <c r="B149" t="s">
        <v>690</v>
      </c>
      <c r="C149" t="s">
        <v>189</v>
      </c>
      <c r="D149" t="s">
        <v>21</v>
      </c>
      <c r="E149">
        <v>6.7000000000000002E-4</v>
      </c>
      <c r="F149">
        <v>6.7000000000000002E-4</v>
      </c>
      <c r="G149" t="s">
        <v>569</v>
      </c>
    </row>
    <row r="150" spans="1:7" x14ac:dyDescent="0.3">
      <c r="A150" t="s">
        <v>235</v>
      </c>
      <c r="B150" t="s">
        <v>236</v>
      </c>
      <c r="C150" t="s">
        <v>110</v>
      </c>
      <c r="D150" t="s">
        <v>41</v>
      </c>
      <c r="E150">
        <v>6.8999999999999997E-4</v>
      </c>
      <c r="F150">
        <v>6.8999999999999997E-4</v>
      </c>
      <c r="G150" t="s">
        <v>572</v>
      </c>
    </row>
    <row r="151" spans="1:7" x14ac:dyDescent="0.3">
      <c r="A151" t="s">
        <v>769</v>
      </c>
      <c r="B151" t="s">
        <v>770</v>
      </c>
      <c r="C151" t="s">
        <v>110</v>
      </c>
      <c r="D151" t="s">
        <v>41</v>
      </c>
      <c r="E151">
        <v>6.8999999999999997E-4</v>
      </c>
      <c r="F151">
        <v>6.8999999999999997E-4</v>
      </c>
      <c r="G151" t="s">
        <v>575</v>
      </c>
    </row>
    <row r="152" spans="1:7" x14ac:dyDescent="0.3">
      <c r="A152" t="s">
        <v>772</v>
      </c>
      <c r="B152" t="s">
        <v>773</v>
      </c>
      <c r="C152" t="s">
        <v>110</v>
      </c>
      <c r="D152" t="s">
        <v>41</v>
      </c>
      <c r="E152">
        <v>6.8999999999999997E-4</v>
      </c>
      <c r="F152">
        <v>6.8999999999999997E-4</v>
      </c>
      <c r="G152" t="s">
        <v>578</v>
      </c>
    </row>
    <row r="153" spans="1:7" x14ac:dyDescent="0.3">
      <c r="A153" s="3" t="s">
        <v>23</v>
      </c>
      <c r="B153" s="3" t="s">
        <v>24</v>
      </c>
      <c r="C153" s="3" t="s">
        <v>25</v>
      </c>
      <c r="D153" s="3" t="s">
        <v>26</v>
      </c>
      <c r="E153" s="3">
        <v>7.1000000000000002E-4</v>
      </c>
      <c r="F153" s="3">
        <v>7.1000000000000002E-4</v>
      </c>
      <c r="G153" t="s">
        <v>581</v>
      </c>
    </row>
    <row r="154" spans="1:7" x14ac:dyDescent="0.3">
      <c r="A154" t="s">
        <v>1071</v>
      </c>
      <c r="B154" t="s">
        <v>1072</v>
      </c>
      <c r="C154" t="s">
        <v>35</v>
      </c>
      <c r="D154" t="s">
        <v>633</v>
      </c>
      <c r="E154">
        <v>7.1000000000000002E-4</v>
      </c>
      <c r="F154">
        <v>7.1000000000000002E-4</v>
      </c>
      <c r="G154" t="s">
        <v>584</v>
      </c>
    </row>
    <row r="155" spans="1:7" x14ac:dyDescent="0.3">
      <c r="A155" t="s">
        <v>147</v>
      </c>
      <c r="B155" t="s">
        <v>148</v>
      </c>
      <c r="C155" t="s">
        <v>20</v>
      </c>
      <c r="D155" t="s">
        <v>149</v>
      </c>
      <c r="E155">
        <v>7.2999999999999996E-4</v>
      </c>
      <c r="F155">
        <v>7.2999999999999996E-4</v>
      </c>
      <c r="G155" t="s">
        <v>587</v>
      </c>
    </row>
    <row r="156" spans="1:7" x14ac:dyDescent="0.3">
      <c r="A156" t="s">
        <v>528</v>
      </c>
      <c r="B156" t="s">
        <v>529</v>
      </c>
      <c r="C156" t="s">
        <v>20</v>
      </c>
      <c r="D156" t="s">
        <v>149</v>
      </c>
      <c r="E156">
        <v>7.2999999999999996E-4</v>
      </c>
      <c r="F156">
        <v>7.2999999999999996E-4</v>
      </c>
      <c r="G156" t="s">
        <v>590</v>
      </c>
    </row>
    <row r="157" spans="1:7" x14ac:dyDescent="0.3">
      <c r="A157" t="s">
        <v>820</v>
      </c>
      <c r="B157" t="s">
        <v>821</v>
      </c>
      <c r="C157" t="s">
        <v>20</v>
      </c>
      <c r="D157" t="s">
        <v>149</v>
      </c>
      <c r="E157">
        <v>7.2999999999999996E-4</v>
      </c>
      <c r="F157">
        <v>7.2999999999999996E-4</v>
      </c>
      <c r="G157" t="s">
        <v>593</v>
      </c>
    </row>
    <row r="158" spans="1:7" x14ac:dyDescent="0.3">
      <c r="A158" t="s">
        <v>531</v>
      </c>
      <c r="B158" t="s">
        <v>532</v>
      </c>
      <c r="C158" t="s">
        <v>215</v>
      </c>
      <c r="D158" t="s">
        <v>132</v>
      </c>
      <c r="E158">
        <v>9.3999999999999997E-4</v>
      </c>
      <c r="F158">
        <v>9.3999999999999997E-4</v>
      </c>
      <c r="G158" t="s">
        <v>596</v>
      </c>
    </row>
    <row r="159" spans="1:7" x14ac:dyDescent="0.3">
      <c r="A159" t="s">
        <v>661</v>
      </c>
      <c r="B159" t="s">
        <v>662</v>
      </c>
      <c r="C159" t="s">
        <v>72</v>
      </c>
      <c r="D159" t="s">
        <v>556</v>
      </c>
      <c r="E159">
        <v>9.6000000000000002E-4</v>
      </c>
      <c r="F159">
        <v>9.6000000000000002E-4</v>
      </c>
      <c r="G159" t="s">
        <v>599</v>
      </c>
    </row>
    <row r="160" spans="1:7" x14ac:dyDescent="0.3">
      <c r="A160" t="s">
        <v>805</v>
      </c>
      <c r="B160" t="s">
        <v>806</v>
      </c>
      <c r="C160" t="s">
        <v>57</v>
      </c>
      <c r="D160" t="s">
        <v>101</v>
      </c>
      <c r="E160">
        <v>9.7000000000000005E-4</v>
      </c>
      <c r="F160">
        <v>9.7000000000000005E-4</v>
      </c>
      <c r="G160" t="s">
        <v>602</v>
      </c>
    </row>
    <row r="161" spans="1:7" x14ac:dyDescent="0.3">
      <c r="A161" t="s">
        <v>861</v>
      </c>
      <c r="B161" t="s">
        <v>862</v>
      </c>
      <c r="C161" t="s">
        <v>57</v>
      </c>
      <c r="D161" t="s">
        <v>101</v>
      </c>
      <c r="E161">
        <v>9.7000000000000005E-4</v>
      </c>
      <c r="F161">
        <v>9.7000000000000005E-4</v>
      </c>
      <c r="G161" t="s">
        <v>605</v>
      </c>
    </row>
    <row r="162" spans="1:7" x14ac:dyDescent="0.3">
      <c r="A162" t="s">
        <v>923</v>
      </c>
      <c r="B162" t="s">
        <v>924</v>
      </c>
      <c r="C162" t="s">
        <v>57</v>
      </c>
      <c r="D162" t="s">
        <v>101</v>
      </c>
      <c r="E162">
        <v>9.7000000000000005E-4</v>
      </c>
      <c r="F162">
        <v>9.7000000000000005E-4</v>
      </c>
      <c r="G162" t="s">
        <v>610</v>
      </c>
    </row>
    <row r="163" spans="1:7" x14ac:dyDescent="0.3">
      <c r="A163" t="s">
        <v>1006</v>
      </c>
      <c r="B163" t="s">
        <v>1007</v>
      </c>
      <c r="C163" t="s">
        <v>57</v>
      </c>
      <c r="D163" t="s">
        <v>101</v>
      </c>
      <c r="E163">
        <v>9.7000000000000005E-4</v>
      </c>
      <c r="F163">
        <v>9.7000000000000005E-4</v>
      </c>
      <c r="G163" t="s">
        <v>614</v>
      </c>
    </row>
    <row r="164" spans="1:7" x14ac:dyDescent="0.3">
      <c r="A164" t="s">
        <v>576</v>
      </c>
      <c r="B164" t="s">
        <v>577</v>
      </c>
      <c r="C164" t="s">
        <v>145</v>
      </c>
      <c r="D164" t="s">
        <v>168</v>
      </c>
      <c r="E164">
        <v>1.06E-3</v>
      </c>
      <c r="F164">
        <v>1.06E-3</v>
      </c>
      <c r="G164" t="s">
        <v>618</v>
      </c>
    </row>
    <row r="165" spans="1:7" x14ac:dyDescent="0.3">
      <c r="A165" t="s">
        <v>591</v>
      </c>
      <c r="B165" t="s">
        <v>592</v>
      </c>
      <c r="C165" t="s">
        <v>327</v>
      </c>
      <c r="D165" t="s">
        <v>31</v>
      </c>
      <c r="E165">
        <v>1.15E-3</v>
      </c>
      <c r="F165">
        <v>1.15E-3</v>
      </c>
      <c r="G165" t="s">
        <v>621</v>
      </c>
    </row>
    <row r="166" spans="1:7" x14ac:dyDescent="0.3">
      <c r="A166" t="s">
        <v>865</v>
      </c>
      <c r="B166" t="s">
        <v>866</v>
      </c>
      <c r="C166" t="s">
        <v>327</v>
      </c>
      <c r="D166" t="s">
        <v>31</v>
      </c>
      <c r="E166">
        <v>1.15E-3</v>
      </c>
      <c r="F166">
        <v>1.15E-3</v>
      </c>
      <c r="G166" t="s">
        <v>624</v>
      </c>
    </row>
    <row r="167" spans="1:7" x14ac:dyDescent="0.3">
      <c r="A167" t="s">
        <v>561</v>
      </c>
      <c r="B167" t="s">
        <v>562</v>
      </c>
      <c r="C167" t="s">
        <v>167</v>
      </c>
      <c r="D167" t="s">
        <v>36</v>
      </c>
      <c r="E167">
        <v>1.24E-3</v>
      </c>
      <c r="F167">
        <v>1.24E-3</v>
      </c>
      <c r="G167" t="s">
        <v>627</v>
      </c>
    </row>
    <row r="168" spans="1:7" x14ac:dyDescent="0.3">
      <c r="A168" t="s">
        <v>728</v>
      </c>
      <c r="B168" t="s">
        <v>729</v>
      </c>
      <c r="C168" t="s">
        <v>40</v>
      </c>
      <c r="D168" t="s">
        <v>193</v>
      </c>
      <c r="E168">
        <v>1.7700000000000001E-3</v>
      </c>
      <c r="F168">
        <v>1.7700000000000001E-3</v>
      </c>
      <c r="G168" t="s">
        <v>630</v>
      </c>
    </row>
    <row r="169" spans="1:7" x14ac:dyDescent="0.3">
      <c r="A169" t="s">
        <v>763</v>
      </c>
      <c r="B169" t="s">
        <v>764</v>
      </c>
      <c r="C169" t="s">
        <v>40</v>
      </c>
      <c r="D169" t="s">
        <v>193</v>
      </c>
      <c r="E169">
        <v>1.7700000000000001E-3</v>
      </c>
      <c r="F169">
        <v>1.7700000000000001E-3</v>
      </c>
      <c r="G169" t="s">
        <v>634</v>
      </c>
    </row>
    <row r="170" spans="1:7" x14ac:dyDescent="0.3">
      <c r="A170" t="s">
        <v>377</v>
      </c>
      <c r="B170" t="s">
        <v>378</v>
      </c>
      <c r="C170" t="s">
        <v>207</v>
      </c>
      <c r="D170" t="s">
        <v>128</v>
      </c>
      <c r="E170">
        <v>2.15E-3</v>
      </c>
      <c r="F170">
        <v>2.15E-3</v>
      </c>
      <c r="G170" t="s">
        <v>637</v>
      </c>
    </row>
    <row r="171" spans="1:7" x14ac:dyDescent="0.3">
      <c r="A171" t="s">
        <v>415</v>
      </c>
      <c r="B171" t="s">
        <v>416</v>
      </c>
      <c r="C171" t="s">
        <v>207</v>
      </c>
      <c r="D171" t="s">
        <v>128</v>
      </c>
      <c r="E171">
        <v>2.15E-3</v>
      </c>
      <c r="F171">
        <v>2.15E-3</v>
      </c>
      <c r="G171" t="s">
        <v>640</v>
      </c>
    </row>
    <row r="172" spans="1:7" x14ac:dyDescent="0.3">
      <c r="A172" t="s">
        <v>570</v>
      </c>
      <c r="B172" t="s">
        <v>571</v>
      </c>
      <c r="C172" t="s">
        <v>207</v>
      </c>
      <c r="D172" t="s">
        <v>128</v>
      </c>
      <c r="E172">
        <v>2.15E-3</v>
      </c>
      <c r="F172">
        <v>2.15E-3</v>
      </c>
      <c r="G172" t="s">
        <v>645</v>
      </c>
    </row>
    <row r="173" spans="1:7" x14ac:dyDescent="0.3">
      <c r="A173" t="s">
        <v>920</v>
      </c>
      <c r="B173" t="s">
        <v>921</v>
      </c>
      <c r="C173" t="s">
        <v>207</v>
      </c>
      <c r="D173" t="s">
        <v>128</v>
      </c>
      <c r="E173">
        <v>2.15E-3</v>
      </c>
      <c r="F173">
        <v>2.15E-3</v>
      </c>
      <c r="G173" t="s">
        <v>648</v>
      </c>
    </row>
    <row r="174" spans="1:7" x14ac:dyDescent="0.3">
      <c r="A174" t="s">
        <v>1082</v>
      </c>
      <c r="B174" t="s">
        <v>1083</v>
      </c>
      <c r="C174" t="s">
        <v>207</v>
      </c>
      <c r="D174" t="s">
        <v>128</v>
      </c>
      <c r="E174">
        <v>2.15E-3</v>
      </c>
      <c r="F174">
        <v>2.15E-3</v>
      </c>
      <c r="G174" t="s">
        <v>651</v>
      </c>
    </row>
    <row r="175" spans="1:7" x14ac:dyDescent="0.3">
      <c r="A175" t="s">
        <v>992</v>
      </c>
      <c r="B175" t="s">
        <v>993</v>
      </c>
      <c r="C175" t="s">
        <v>20</v>
      </c>
      <c r="D175" t="s">
        <v>62</v>
      </c>
      <c r="E175">
        <v>2.16E-3</v>
      </c>
      <c r="F175">
        <v>2.16E-3</v>
      </c>
      <c r="G175" t="s">
        <v>656</v>
      </c>
    </row>
    <row r="176" spans="1:7" x14ac:dyDescent="0.3">
      <c r="A176" t="s">
        <v>707</v>
      </c>
      <c r="B176" t="s">
        <v>708</v>
      </c>
      <c r="C176" t="s">
        <v>35</v>
      </c>
      <c r="D176" t="s">
        <v>319</v>
      </c>
      <c r="E176">
        <v>2.2399999999999998E-3</v>
      </c>
      <c r="F176">
        <v>2.2399999999999998E-3</v>
      </c>
      <c r="G176" t="s">
        <v>660</v>
      </c>
    </row>
    <row r="177" spans="1:7" x14ac:dyDescent="0.3">
      <c r="A177" t="s">
        <v>1058</v>
      </c>
      <c r="B177" t="s">
        <v>1059</v>
      </c>
      <c r="C177" t="s">
        <v>1060</v>
      </c>
      <c r="D177" t="s">
        <v>1061</v>
      </c>
      <c r="E177">
        <v>2.2799999999999999E-3</v>
      </c>
      <c r="F177">
        <v>2.2799999999999999E-3</v>
      </c>
      <c r="G177" t="s">
        <v>663</v>
      </c>
    </row>
    <row r="178" spans="1:7" x14ac:dyDescent="0.3">
      <c r="A178" t="s">
        <v>863</v>
      </c>
      <c r="B178" t="s">
        <v>864</v>
      </c>
      <c r="C178" t="s">
        <v>110</v>
      </c>
      <c r="D178" t="s">
        <v>136</v>
      </c>
      <c r="E178">
        <v>2.9099999999999998E-3</v>
      </c>
      <c r="F178">
        <v>2.9099999999999998E-3</v>
      </c>
      <c r="G178" t="s">
        <v>666</v>
      </c>
    </row>
    <row r="179" spans="1:7" x14ac:dyDescent="0.3">
      <c r="A179" t="s">
        <v>905</v>
      </c>
      <c r="B179" t="s">
        <v>906</v>
      </c>
      <c r="C179" t="s">
        <v>110</v>
      </c>
      <c r="D179" t="s">
        <v>136</v>
      </c>
      <c r="E179">
        <v>2.9099999999999998E-3</v>
      </c>
      <c r="F179">
        <v>2.9099999999999998E-3</v>
      </c>
      <c r="G179" t="s">
        <v>670</v>
      </c>
    </row>
    <row r="180" spans="1:7" x14ac:dyDescent="0.3">
      <c r="A180" t="s">
        <v>328</v>
      </c>
      <c r="B180" t="s">
        <v>329</v>
      </c>
      <c r="C180" t="s">
        <v>327</v>
      </c>
      <c r="D180" t="s">
        <v>26</v>
      </c>
      <c r="E180">
        <v>3.0799999999999998E-3</v>
      </c>
      <c r="F180">
        <v>3.0799999999999998E-3</v>
      </c>
      <c r="G180" t="s">
        <v>673</v>
      </c>
    </row>
    <row r="181" spans="1:7" x14ac:dyDescent="0.3">
      <c r="A181" t="s">
        <v>760</v>
      </c>
      <c r="B181" t="s">
        <v>761</v>
      </c>
      <c r="C181" t="s">
        <v>327</v>
      </c>
      <c r="D181" t="s">
        <v>26</v>
      </c>
      <c r="E181">
        <v>3.0799999999999998E-3</v>
      </c>
      <c r="F181">
        <v>3.0799999999999998E-3</v>
      </c>
      <c r="G181" t="s">
        <v>676</v>
      </c>
    </row>
    <row r="182" spans="1:7" x14ac:dyDescent="0.3">
      <c r="A182" t="s">
        <v>638</v>
      </c>
      <c r="B182" t="s">
        <v>639</v>
      </c>
      <c r="C182" t="s">
        <v>30</v>
      </c>
      <c r="D182" t="s">
        <v>149</v>
      </c>
      <c r="E182">
        <v>3.47E-3</v>
      </c>
      <c r="F182">
        <v>3.47E-3</v>
      </c>
      <c r="G182" t="s">
        <v>679</v>
      </c>
    </row>
    <row r="183" spans="1:7" x14ac:dyDescent="0.3">
      <c r="A183" t="s">
        <v>754</v>
      </c>
      <c r="B183" t="s">
        <v>755</v>
      </c>
      <c r="C183" t="s">
        <v>145</v>
      </c>
      <c r="D183" t="s">
        <v>414</v>
      </c>
      <c r="E183">
        <v>3.7699999999999999E-3</v>
      </c>
      <c r="F183">
        <v>3.7699999999999999E-3</v>
      </c>
      <c r="G183" t="s">
        <v>682</v>
      </c>
    </row>
    <row r="184" spans="1:7" x14ac:dyDescent="0.3">
      <c r="A184" t="s">
        <v>757</v>
      </c>
      <c r="B184" t="s">
        <v>758</v>
      </c>
      <c r="C184" t="s">
        <v>145</v>
      </c>
      <c r="D184" t="s">
        <v>414</v>
      </c>
      <c r="E184">
        <v>3.7699999999999999E-3</v>
      </c>
      <c r="F184">
        <v>3.7699999999999999E-3</v>
      </c>
      <c r="G184" t="s">
        <v>685</v>
      </c>
    </row>
    <row r="185" spans="1:7" x14ac:dyDescent="0.3">
      <c r="A185" t="s">
        <v>812</v>
      </c>
      <c r="B185" t="s">
        <v>813</v>
      </c>
      <c r="C185" t="s">
        <v>145</v>
      </c>
      <c r="D185" t="s">
        <v>414</v>
      </c>
      <c r="E185">
        <v>3.7699999999999999E-3</v>
      </c>
      <c r="F185">
        <v>3.7699999999999999E-3</v>
      </c>
      <c r="G185" t="s">
        <v>688</v>
      </c>
    </row>
    <row r="186" spans="1:7" x14ac:dyDescent="0.3">
      <c r="A186" t="s">
        <v>852</v>
      </c>
      <c r="B186" t="s">
        <v>853</v>
      </c>
      <c r="C186" t="s">
        <v>145</v>
      </c>
      <c r="D186" t="s">
        <v>414</v>
      </c>
      <c r="E186">
        <v>3.7699999999999999E-3</v>
      </c>
      <c r="F186">
        <v>3.7699999999999999E-3</v>
      </c>
      <c r="G186" t="s">
        <v>691</v>
      </c>
    </row>
    <row r="187" spans="1:7" x14ac:dyDescent="0.3">
      <c r="A187" t="s">
        <v>1037</v>
      </c>
      <c r="B187" t="s">
        <v>1038</v>
      </c>
      <c r="C187" t="s">
        <v>145</v>
      </c>
      <c r="D187" t="s">
        <v>414</v>
      </c>
      <c r="E187">
        <v>3.7699999999999999E-3</v>
      </c>
      <c r="F187">
        <v>3.7699999999999999E-3</v>
      </c>
      <c r="G187" t="s">
        <v>694</v>
      </c>
    </row>
    <row r="188" spans="1:7" x14ac:dyDescent="0.3">
      <c r="A188" t="s">
        <v>1064</v>
      </c>
      <c r="B188" t="s">
        <v>1065</v>
      </c>
      <c r="C188" t="s">
        <v>145</v>
      </c>
      <c r="D188" t="s">
        <v>414</v>
      </c>
      <c r="E188">
        <v>3.7699999999999999E-3</v>
      </c>
      <c r="F188">
        <v>3.7699999999999999E-3</v>
      </c>
      <c r="G188" t="s">
        <v>697</v>
      </c>
    </row>
    <row r="189" spans="1:7" x14ac:dyDescent="0.3">
      <c r="A189" t="s">
        <v>941</v>
      </c>
      <c r="B189" t="s">
        <v>942</v>
      </c>
      <c r="C189" t="s">
        <v>167</v>
      </c>
      <c r="D189" t="s">
        <v>45</v>
      </c>
      <c r="E189">
        <v>3.96E-3</v>
      </c>
      <c r="F189">
        <v>3.96E-3</v>
      </c>
      <c r="G189" t="s">
        <v>700</v>
      </c>
    </row>
    <row r="190" spans="1:7" x14ac:dyDescent="0.3">
      <c r="A190" t="s">
        <v>975</v>
      </c>
      <c r="B190" t="s">
        <v>976</v>
      </c>
      <c r="C190" t="s">
        <v>167</v>
      </c>
      <c r="D190" t="s">
        <v>45</v>
      </c>
      <c r="E190">
        <v>3.96E-3</v>
      </c>
      <c r="F190">
        <v>3.96E-3</v>
      </c>
      <c r="G190" t="s">
        <v>703</v>
      </c>
    </row>
    <row r="191" spans="1:7" x14ac:dyDescent="0.3">
      <c r="A191" t="s">
        <v>195</v>
      </c>
      <c r="B191" t="s">
        <v>196</v>
      </c>
      <c r="C191" t="s">
        <v>57</v>
      </c>
      <c r="D191" t="s">
        <v>49</v>
      </c>
      <c r="E191">
        <v>4.5199999999999997E-3</v>
      </c>
      <c r="F191">
        <v>4.5199999999999997E-3</v>
      </c>
      <c r="G191" t="s">
        <v>706</v>
      </c>
    </row>
    <row r="192" spans="1:7" x14ac:dyDescent="0.3">
      <c r="A192" t="s">
        <v>394</v>
      </c>
      <c r="B192" t="s">
        <v>395</v>
      </c>
      <c r="C192" t="s">
        <v>57</v>
      </c>
      <c r="D192" t="s">
        <v>49</v>
      </c>
      <c r="E192">
        <v>4.5199999999999997E-3</v>
      </c>
      <c r="F192">
        <v>4.5199999999999997E-3</v>
      </c>
      <c r="G192" t="s">
        <v>709</v>
      </c>
    </row>
    <row r="193" spans="1:7" x14ac:dyDescent="0.3">
      <c r="A193" t="s">
        <v>766</v>
      </c>
      <c r="B193" t="s">
        <v>767</v>
      </c>
      <c r="C193" t="s">
        <v>57</v>
      </c>
      <c r="D193" t="s">
        <v>49</v>
      </c>
      <c r="E193">
        <v>4.5199999999999997E-3</v>
      </c>
      <c r="F193">
        <v>4.5199999999999997E-3</v>
      </c>
      <c r="G193" t="s">
        <v>712</v>
      </c>
    </row>
    <row r="194" spans="1:7" x14ac:dyDescent="0.3">
      <c r="A194" t="s">
        <v>885</v>
      </c>
      <c r="B194" t="s">
        <v>886</v>
      </c>
      <c r="C194" t="s">
        <v>57</v>
      </c>
      <c r="D194" t="s">
        <v>49</v>
      </c>
      <c r="E194">
        <v>4.5199999999999997E-3</v>
      </c>
      <c r="F194">
        <v>4.5199999999999997E-3</v>
      </c>
      <c r="G194" t="s">
        <v>715</v>
      </c>
    </row>
    <row r="195" spans="1:7" x14ac:dyDescent="0.3">
      <c r="A195" t="s">
        <v>900</v>
      </c>
      <c r="B195" t="s">
        <v>901</v>
      </c>
      <c r="C195" t="s">
        <v>57</v>
      </c>
      <c r="D195" t="s">
        <v>49</v>
      </c>
      <c r="E195">
        <v>4.5199999999999997E-3</v>
      </c>
      <c r="F195">
        <v>4.5199999999999997E-3</v>
      </c>
      <c r="G195" t="s">
        <v>718</v>
      </c>
    </row>
    <row r="196" spans="1:7" x14ac:dyDescent="0.3">
      <c r="A196" t="s">
        <v>187</v>
      </c>
      <c r="B196" t="s">
        <v>188</v>
      </c>
      <c r="C196" t="s">
        <v>189</v>
      </c>
      <c r="D196" t="s">
        <v>31</v>
      </c>
      <c r="E196">
        <v>4.5999999999999999E-3</v>
      </c>
      <c r="F196">
        <v>4.5999999999999999E-3</v>
      </c>
      <c r="G196" t="s">
        <v>721</v>
      </c>
    </row>
    <row r="197" spans="1:7" x14ac:dyDescent="0.3">
      <c r="A197" s="3" t="s">
        <v>13</v>
      </c>
      <c r="B197" s="3" t="s">
        <v>14</v>
      </c>
      <c r="C197" s="3" t="s">
        <v>15</v>
      </c>
      <c r="D197" s="3" t="s">
        <v>16</v>
      </c>
      <c r="E197" s="3">
        <v>4.7000000000000002E-3</v>
      </c>
      <c r="F197" s="3">
        <v>4.7000000000000002E-3</v>
      </c>
      <c r="G197" t="s">
        <v>724</v>
      </c>
    </row>
    <row r="198" spans="1:7" x14ac:dyDescent="0.3">
      <c r="A198" t="s">
        <v>704</v>
      </c>
      <c r="B198" t="s">
        <v>705</v>
      </c>
      <c r="C198" t="s">
        <v>15</v>
      </c>
      <c r="D198" t="s">
        <v>16</v>
      </c>
      <c r="E198">
        <v>4.7000000000000002E-3</v>
      </c>
      <c r="F198">
        <v>4.7000000000000002E-3</v>
      </c>
      <c r="G198" t="s">
        <v>727</v>
      </c>
    </row>
    <row r="199" spans="1:7" x14ac:dyDescent="0.3">
      <c r="A199" t="s">
        <v>201</v>
      </c>
      <c r="B199" t="s">
        <v>202</v>
      </c>
      <c r="C199" t="s">
        <v>20</v>
      </c>
      <c r="D199" t="s">
        <v>203</v>
      </c>
      <c r="E199">
        <v>6.0699999999999999E-3</v>
      </c>
      <c r="F199">
        <v>6.0699999999999999E-3</v>
      </c>
      <c r="G199" t="s">
        <v>730</v>
      </c>
    </row>
    <row r="200" spans="1:7" x14ac:dyDescent="0.3">
      <c r="A200" t="s">
        <v>470</v>
      </c>
      <c r="B200" t="s">
        <v>471</v>
      </c>
      <c r="C200" t="s">
        <v>20</v>
      </c>
      <c r="D200" t="s">
        <v>203</v>
      </c>
      <c r="E200">
        <v>6.0699999999999999E-3</v>
      </c>
      <c r="F200">
        <v>6.0699999999999999E-3</v>
      </c>
      <c r="G200" t="s">
        <v>733</v>
      </c>
    </row>
    <row r="201" spans="1:7" x14ac:dyDescent="0.3">
      <c r="A201" t="s">
        <v>1048</v>
      </c>
      <c r="B201" t="s">
        <v>1049</v>
      </c>
      <c r="C201" t="s">
        <v>20</v>
      </c>
      <c r="D201" t="s">
        <v>203</v>
      </c>
      <c r="E201">
        <v>6.0699999999999999E-3</v>
      </c>
      <c r="F201">
        <v>6.0699999999999999E-3</v>
      </c>
      <c r="G201" t="s">
        <v>736</v>
      </c>
    </row>
    <row r="202" spans="1:7" x14ac:dyDescent="0.3">
      <c r="A202" s="3" t="s">
        <v>38</v>
      </c>
      <c r="B202" s="3" t="s">
        <v>39</v>
      </c>
      <c r="C202" s="3" t="s">
        <v>40</v>
      </c>
      <c r="D202" s="3" t="s">
        <v>41</v>
      </c>
      <c r="E202" s="3">
        <v>6.6299999999999996E-3</v>
      </c>
      <c r="F202" s="3">
        <v>6.6299999999999996E-3</v>
      </c>
      <c r="G202" t="s">
        <v>739</v>
      </c>
    </row>
    <row r="203" spans="1:7" x14ac:dyDescent="0.3">
      <c r="A203" t="s">
        <v>926</v>
      </c>
      <c r="B203" t="s">
        <v>927</v>
      </c>
      <c r="C203" t="s">
        <v>40</v>
      </c>
      <c r="D203" t="s">
        <v>41</v>
      </c>
      <c r="E203">
        <v>6.6299999999999996E-3</v>
      </c>
      <c r="F203">
        <v>6.6299999999999996E-3</v>
      </c>
      <c r="G203" t="s">
        <v>742</v>
      </c>
    </row>
    <row r="204" spans="1:7" x14ac:dyDescent="0.3">
      <c r="A204" s="3" t="s">
        <v>33</v>
      </c>
      <c r="B204" s="3" t="s">
        <v>34</v>
      </c>
      <c r="C204" s="3" t="s">
        <v>35</v>
      </c>
      <c r="D204" s="3" t="s">
        <v>36</v>
      </c>
      <c r="E204" s="3">
        <v>6.7200000000000003E-3</v>
      </c>
      <c r="F204" s="3">
        <v>6.7200000000000003E-3</v>
      </c>
      <c r="G204" t="s">
        <v>739</v>
      </c>
    </row>
    <row r="205" spans="1:7" x14ac:dyDescent="0.3">
      <c r="A205" t="s">
        <v>348</v>
      </c>
      <c r="B205" t="s">
        <v>349</v>
      </c>
      <c r="C205" t="s">
        <v>35</v>
      </c>
      <c r="D205" t="s">
        <v>36</v>
      </c>
      <c r="E205">
        <v>6.7200000000000003E-3</v>
      </c>
      <c r="F205">
        <v>6.7200000000000003E-3</v>
      </c>
      <c r="G205" t="s">
        <v>747</v>
      </c>
    </row>
    <row r="206" spans="1:7" x14ac:dyDescent="0.3">
      <c r="A206" t="s">
        <v>622</v>
      </c>
      <c r="B206" t="s">
        <v>623</v>
      </c>
      <c r="C206" t="s">
        <v>35</v>
      </c>
      <c r="D206" t="s">
        <v>36</v>
      </c>
      <c r="E206">
        <v>6.7200000000000003E-3</v>
      </c>
      <c r="F206">
        <v>6.7200000000000003E-3</v>
      </c>
      <c r="G206" t="s">
        <v>750</v>
      </c>
    </row>
    <row r="207" spans="1:7" x14ac:dyDescent="0.3">
      <c r="A207" t="s">
        <v>1132</v>
      </c>
      <c r="B207" t="s">
        <v>1133</v>
      </c>
      <c r="C207" t="s">
        <v>35</v>
      </c>
      <c r="D207" t="s">
        <v>36</v>
      </c>
      <c r="E207">
        <v>6.7200000000000003E-3</v>
      </c>
      <c r="F207">
        <v>6.7200000000000003E-3</v>
      </c>
      <c r="G207" t="s">
        <v>753</v>
      </c>
    </row>
    <row r="208" spans="1:7" x14ac:dyDescent="0.3">
      <c r="A208" t="s">
        <v>325</v>
      </c>
      <c r="B208" t="s">
        <v>326</v>
      </c>
      <c r="C208" t="s">
        <v>327</v>
      </c>
      <c r="D208" t="s">
        <v>160</v>
      </c>
      <c r="E208">
        <v>7.8799999999999999E-3</v>
      </c>
      <c r="F208">
        <v>7.8799999999999999E-3</v>
      </c>
      <c r="G208" t="s">
        <v>756</v>
      </c>
    </row>
    <row r="209" spans="1:7" x14ac:dyDescent="0.3">
      <c r="A209" t="s">
        <v>635</v>
      </c>
      <c r="B209" t="s">
        <v>636</v>
      </c>
      <c r="C209" t="s">
        <v>327</v>
      </c>
      <c r="D209" t="s">
        <v>160</v>
      </c>
      <c r="E209">
        <v>7.8799999999999999E-3</v>
      </c>
      <c r="F209">
        <v>7.8799999999999999E-3</v>
      </c>
      <c r="G209" t="s">
        <v>759</v>
      </c>
    </row>
    <row r="210" spans="1:7" x14ac:dyDescent="0.3">
      <c r="A210" t="s">
        <v>858</v>
      </c>
      <c r="B210" t="s">
        <v>859</v>
      </c>
      <c r="C210" t="s">
        <v>30</v>
      </c>
      <c r="D210" t="s">
        <v>62</v>
      </c>
      <c r="E210">
        <v>9.2499999999999995E-3</v>
      </c>
      <c r="F210">
        <v>9.2499999999999995E-3</v>
      </c>
      <c r="G210" t="s">
        <v>762</v>
      </c>
    </row>
    <row r="211" spans="1:7" x14ac:dyDescent="0.3">
      <c r="A211" t="s">
        <v>250</v>
      </c>
      <c r="B211" t="s">
        <v>251</v>
      </c>
      <c r="C211" t="s">
        <v>189</v>
      </c>
      <c r="D211" t="s">
        <v>26</v>
      </c>
      <c r="E211">
        <v>1.1270000000000001E-2</v>
      </c>
      <c r="F211">
        <v>1.1270000000000001E-2</v>
      </c>
      <c r="G211" t="s">
        <v>765</v>
      </c>
    </row>
    <row r="212" spans="1:7" x14ac:dyDescent="0.3">
      <c r="A212" t="s">
        <v>664</v>
      </c>
      <c r="B212" t="s">
        <v>665</v>
      </c>
      <c r="C212" t="s">
        <v>300</v>
      </c>
      <c r="D212" t="s">
        <v>219</v>
      </c>
      <c r="E212">
        <v>1.149E-2</v>
      </c>
      <c r="F212">
        <v>1.149E-2</v>
      </c>
      <c r="G212" t="s">
        <v>768</v>
      </c>
    </row>
    <row r="213" spans="1:7" x14ac:dyDescent="0.3">
      <c r="A213" t="s">
        <v>751</v>
      </c>
      <c r="B213" t="s">
        <v>752</v>
      </c>
      <c r="C213" t="s">
        <v>110</v>
      </c>
      <c r="D213" t="s">
        <v>101</v>
      </c>
      <c r="E213">
        <v>1.166E-2</v>
      </c>
      <c r="F213">
        <v>1.166E-2</v>
      </c>
      <c r="G213" t="s">
        <v>771</v>
      </c>
    </row>
    <row r="214" spans="1:7" x14ac:dyDescent="0.3">
      <c r="A214" t="s">
        <v>882</v>
      </c>
      <c r="B214" t="s">
        <v>883</v>
      </c>
      <c r="C214" t="s">
        <v>110</v>
      </c>
      <c r="D214" t="s">
        <v>101</v>
      </c>
      <c r="E214">
        <v>1.166E-2</v>
      </c>
      <c r="F214">
        <v>1.166E-2</v>
      </c>
      <c r="G214" t="s">
        <v>774</v>
      </c>
    </row>
    <row r="215" spans="1:7" x14ac:dyDescent="0.3">
      <c r="A215" t="s">
        <v>903</v>
      </c>
      <c r="B215" t="s">
        <v>904</v>
      </c>
      <c r="C215" t="s">
        <v>110</v>
      </c>
      <c r="D215" t="s">
        <v>101</v>
      </c>
      <c r="E215">
        <v>1.166E-2</v>
      </c>
      <c r="F215">
        <v>1.166E-2</v>
      </c>
      <c r="G215" t="s">
        <v>777</v>
      </c>
    </row>
    <row r="216" spans="1:7" x14ac:dyDescent="0.3">
      <c r="A216" t="s">
        <v>929</v>
      </c>
      <c r="B216" t="s">
        <v>930</v>
      </c>
      <c r="C216" t="s">
        <v>110</v>
      </c>
      <c r="D216" t="s">
        <v>101</v>
      </c>
      <c r="E216">
        <v>1.166E-2</v>
      </c>
      <c r="F216">
        <v>1.166E-2</v>
      </c>
      <c r="G216" t="s">
        <v>780</v>
      </c>
    </row>
    <row r="217" spans="1:7" x14ac:dyDescent="0.3">
      <c r="A217" t="s">
        <v>1105</v>
      </c>
      <c r="B217" t="s">
        <v>1106</v>
      </c>
      <c r="C217" t="s">
        <v>110</v>
      </c>
      <c r="D217" t="s">
        <v>101</v>
      </c>
      <c r="E217">
        <v>1.166E-2</v>
      </c>
      <c r="F217">
        <v>1.166E-2</v>
      </c>
      <c r="G217" t="s">
        <v>783</v>
      </c>
    </row>
    <row r="218" spans="1:7" x14ac:dyDescent="0.3">
      <c r="A218" t="s">
        <v>1008</v>
      </c>
      <c r="B218" t="s">
        <v>1009</v>
      </c>
      <c r="C218" t="s">
        <v>167</v>
      </c>
      <c r="D218" t="s">
        <v>128</v>
      </c>
      <c r="E218">
        <v>1.2030000000000001E-2</v>
      </c>
      <c r="F218">
        <v>1.2030000000000001E-2</v>
      </c>
      <c r="G218" t="s">
        <v>786</v>
      </c>
    </row>
    <row r="219" spans="1:7" x14ac:dyDescent="0.3">
      <c r="A219" t="s">
        <v>1085</v>
      </c>
      <c r="B219" t="s">
        <v>1086</v>
      </c>
      <c r="C219" t="s">
        <v>167</v>
      </c>
      <c r="D219" t="s">
        <v>128</v>
      </c>
      <c r="E219">
        <v>1.2030000000000001E-2</v>
      </c>
      <c r="F219">
        <v>1.2030000000000001E-2</v>
      </c>
      <c r="G219" t="s">
        <v>789</v>
      </c>
    </row>
    <row r="220" spans="1:7" x14ac:dyDescent="0.3">
      <c r="A220" t="s">
        <v>198</v>
      </c>
      <c r="B220" t="s">
        <v>199</v>
      </c>
      <c r="C220" t="s">
        <v>145</v>
      </c>
      <c r="D220" t="s">
        <v>193</v>
      </c>
      <c r="E220">
        <v>1.2749999999999999E-2</v>
      </c>
      <c r="F220">
        <v>1.2749999999999999E-2</v>
      </c>
      <c r="G220" t="s">
        <v>792</v>
      </c>
    </row>
    <row r="221" spans="1:7" x14ac:dyDescent="0.3">
      <c r="A221" t="s">
        <v>268</v>
      </c>
      <c r="B221" t="s">
        <v>269</v>
      </c>
      <c r="C221" t="s">
        <v>145</v>
      </c>
      <c r="D221" t="s">
        <v>193</v>
      </c>
      <c r="E221">
        <v>1.2749999999999999E-2</v>
      </c>
      <c r="F221">
        <v>1.2749999999999999E-2</v>
      </c>
      <c r="G221" t="s">
        <v>795</v>
      </c>
    </row>
    <row r="222" spans="1:7" x14ac:dyDescent="0.3">
      <c r="A222" t="s">
        <v>1129</v>
      </c>
      <c r="B222" t="s">
        <v>1130</v>
      </c>
      <c r="C222" t="s">
        <v>145</v>
      </c>
      <c r="D222" t="s">
        <v>193</v>
      </c>
      <c r="E222">
        <v>1.2749999999999999E-2</v>
      </c>
      <c r="F222">
        <v>1.2749999999999999E-2</v>
      </c>
      <c r="G222" t="s">
        <v>798</v>
      </c>
    </row>
    <row r="223" spans="1:7" x14ac:dyDescent="0.3">
      <c r="A223" t="s">
        <v>868</v>
      </c>
      <c r="B223" t="s">
        <v>869</v>
      </c>
      <c r="C223" t="s">
        <v>92</v>
      </c>
      <c r="D223" t="s">
        <v>31</v>
      </c>
      <c r="E223">
        <v>1.566E-2</v>
      </c>
      <c r="F223">
        <v>1.566E-2</v>
      </c>
      <c r="G223" t="s">
        <v>801</v>
      </c>
    </row>
    <row r="224" spans="1:7" x14ac:dyDescent="0.3">
      <c r="A224" t="s">
        <v>541</v>
      </c>
      <c r="B224" t="s">
        <v>542</v>
      </c>
      <c r="C224" t="s">
        <v>327</v>
      </c>
      <c r="D224" t="s">
        <v>124</v>
      </c>
      <c r="E224">
        <v>1.9120000000000002E-2</v>
      </c>
      <c r="F224">
        <v>1.9120000000000002E-2</v>
      </c>
      <c r="G224" t="s">
        <v>804</v>
      </c>
    </row>
    <row r="225" spans="1:7" x14ac:dyDescent="0.3">
      <c r="A225" t="s">
        <v>840</v>
      </c>
      <c r="B225" t="s">
        <v>841</v>
      </c>
      <c r="C225" t="s">
        <v>327</v>
      </c>
      <c r="D225" t="s">
        <v>124</v>
      </c>
      <c r="E225">
        <v>1.9120000000000002E-2</v>
      </c>
      <c r="F225">
        <v>1.9120000000000002E-2</v>
      </c>
      <c r="G225" t="s">
        <v>768</v>
      </c>
    </row>
    <row r="226" spans="1:7" x14ac:dyDescent="0.3">
      <c r="A226" t="s">
        <v>363</v>
      </c>
      <c r="B226" t="s">
        <v>364</v>
      </c>
      <c r="C226" t="s">
        <v>57</v>
      </c>
      <c r="D226" t="s">
        <v>185</v>
      </c>
      <c r="E226">
        <v>2.0250000000000001E-2</v>
      </c>
      <c r="F226">
        <v>2.0250000000000001E-2</v>
      </c>
      <c r="G226" t="s">
        <v>795</v>
      </c>
    </row>
    <row r="227" spans="1:7" x14ac:dyDescent="0.3">
      <c r="A227" t="s">
        <v>719</v>
      </c>
      <c r="B227" t="s">
        <v>720</v>
      </c>
      <c r="C227" t="s">
        <v>57</v>
      </c>
      <c r="D227" t="s">
        <v>185</v>
      </c>
      <c r="E227">
        <v>2.0250000000000001E-2</v>
      </c>
      <c r="F227">
        <v>2.0250000000000001E-2</v>
      </c>
      <c r="G227" t="s">
        <v>811</v>
      </c>
    </row>
    <row r="228" spans="1:7" x14ac:dyDescent="0.3">
      <c r="A228" t="s">
        <v>911</v>
      </c>
      <c r="B228" t="s">
        <v>912</v>
      </c>
      <c r="C228" t="s">
        <v>57</v>
      </c>
      <c r="D228" t="s">
        <v>185</v>
      </c>
      <c r="E228">
        <v>2.0250000000000001E-2</v>
      </c>
      <c r="F228">
        <v>2.0250000000000001E-2</v>
      </c>
      <c r="G228" t="s">
        <v>814</v>
      </c>
    </row>
    <row r="229" spans="1:7" x14ac:dyDescent="0.3">
      <c r="A229" t="s">
        <v>1103</v>
      </c>
      <c r="B229" t="s">
        <v>1104</v>
      </c>
      <c r="C229" t="s">
        <v>57</v>
      </c>
      <c r="D229" t="s">
        <v>185</v>
      </c>
      <c r="E229">
        <v>2.0250000000000001E-2</v>
      </c>
      <c r="F229">
        <v>2.0250000000000001E-2</v>
      </c>
      <c r="G229" t="s">
        <v>804</v>
      </c>
    </row>
    <row r="230" spans="1:7" x14ac:dyDescent="0.3">
      <c r="A230" t="s">
        <v>544</v>
      </c>
      <c r="B230" t="s">
        <v>545</v>
      </c>
      <c r="C230" t="s">
        <v>207</v>
      </c>
      <c r="D230" t="s">
        <v>414</v>
      </c>
      <c r="E230">
        <v>2.1829999999999999E-2</v>
      </c>
      <c r="F230">
        <v>2.1829999999999999E-2</v>
      </c>
      <c r="G230" t="s">
        <v>819</v>
      </c>
    </row>
    <row r="231" spans="1:7" x14ac:dyDescent="0.3">
      <c r="A231" t="s">
        <v>628</v>
      </c>
      <c r="B231" t="s">
        <v>629</v>
      </c>
      <c r="C231" t="s">
        <v>207</v>
      </c>
      <c r="D231" t="s">
        <v>414</v>
      </c>
      <c r="E231">
        <v>2.1829999999999999E-2</v>
      </c>
      <c r="F231">
        <v>2.1829999999999999E-2</v>
      </c>
      <c r="G231" t="s">
        <v>822</v>
      </c>
    </row>
    <row r="232" spans="1:7" x14ac:dyDescent="0.3">
      <c r="A232" t="s">
        <v>698</v>
      </c>
      <c r="B232" t="s">
        <v>699</v>
      </c>
      <c r="C232" t="s">
        <v>207</v>
      </c>
      <c r="D232" t="s">
        <v>414</v>
      </c>
      <c r="E232">
        <v>2.1829999999999999E-2</v>
      </c>
      <c r="F232">
        <v>2.1829999999999999E-2</v>
      </c>
      <c r="G232" t="s">
        <v>768</v>
      </c>
    </row>
    <row r="233" spans="1:7" x14ac:dyDescent="0.3">
      <c r="A233" t="s">
        <v>1126</v>
      </c>
      <c r="B233" t="s">
        <v>1127</v>
      </c>
      <c r="C233" t="s">
        <v>207</v>
      </c>
      <c r="D233" t="s">
        <v>414</v>
      </c>
      <c r="E233">
        <v>2.1829999999999999E-2</v>
      </c>
      <c r="F233">
        <v>2.1829999999999999E-2</v>
      </c>
      <c r="G233" t="s">
        <v>780</v>
      </c>
    </row>
    <row r="234" spans="1:7" x14ac:dyDescent="0.3">
      <c r="A234" t="s">
        <v>594</v>
      </c>
      <c r="B234" t="s">
        <v>595</v>
      </c>
      <c r="C234" t="s">
        <v>30</v>
      </c>
      <c r="D234" t="s">
        <v>203</v>
      </c>
      <c r="E234">
        <v>2.334E-2</v>
      </c>
      <c r="F234">
        <v>2.334E-2</v>
      </c>
      <c r="G234" t="s">
        <v>829</v>
      </c>
    </row>
    <row r="235" spans="1:7" x14ac:dyDescent="0.3">
      <c r="A235" t="s">
        <v>134</v>
      </c>
      <c r="B235" t="s">
        <v>135</v>
      </c>
      <c r="C235" t="s">
        <v>40</v>
      </c>
      <c r="D235" t="s">
        <v>136</v>
      </c>
      <c r="E235">
        <v>2.341E-2</v>
      </c>
      <c r="F235">
        <v>2.341E-2</v>
      </c>
      <c r="G235" t="s">
        <v>832</v>
      </c>
    </row>
    <row r="236" spans="1:7" x14ac:dyDescent="0.3">
      <c r="A236" t="s">
        <v>385</v>
      </c>
      <c r="B236" t="s">
        <v>386</v>
      </c>
      <c r="C236" t="s">
        <v>40</v>
      </c>
      <c r="D236" t="s">
        <v>136</v>
      </c>
      <c r="E236">
        <v>2.341E-2</v>
      </c>
      <c r="F236">
        <v>2.341E-2</v>
      </c>
      <c r="G236" t="s">
        <v>836</v>
      </c>
    </row>
    <row r="237" spans="1:7" x14ac:dyDescent="0.3">
      <c r="A237" t="s">
        <v>802</v>
      </c>
      <c r="B237" t="s">
        <v>803</v>
      </c>
      <c r="C237" t="s">
        <v>40</v>
      </c>
      <c r="D237" t="s">
        <v>136</v>
      </c>
      <c r="E237">
        <v>2.341E-2</v>
      </c>
      <c r="F237">
        <v>2.341E-2</v>
      </c>
      <c r="G237" t="s">
        <v>839</v>
      </c>
    </row>
    <row r="238" spans="1:7" x14ac:dyDescent="0.3">
      <c r="A238" t="s">
        <v>815</v>
      </c>
      <c r="B238" t="s">
        <v>816</v>
      </c>
      <c r="C238" t="s">
        <v>40</v>
      </c>
      <c r="D238" t="s">
        <v>136</v>
      </c>
      <c r="E238">
        <v>2.341E-2</v>
      </c>
      <c r="F238">
        <v>2.341E-2</v>
      </c>
      <c r="G238" t="s">
        <v>842</v>
      </c>
    </row>
    <row r="239" spans="1:7" x14ac:dyDescent="0.3">
      <c r="A239" t="s">
        <v>908</v>
      </c>
      <c r="B239" t="s">
        <v>909</v>
      </c>
      <c r="C239" t="s">
        <v>40</v>
      </c>
      <c r="D239" t="s">
        <v>136</v>
      </c>
      <c r="E239">
        <v>2.341E-2</v>
      </c>
      <c r="F239">
        <v>2.341E-2</v>
      </c>
      <c r="G239" t="s">
        <v>845</v>
      </c>
    </row>
    <row r="240" spans="1:7" x14ac:dyDescent="0.3">
      <c r="A240" t="s">
        <v>1094</v>
      </c>
      <c r="B240" t="s">
        <v>1095</v>
      </c>
      <c r="C240" t="s">
        <v>40</v>
      </c>
      <c r="D240" t="s">
        <v>136</v>
      </c>
      <c r="E240">
        <v>2.341E-2</v>
      </c>
      <c r="F240">
        <v>2.341E-2</v>
      </c>
      <c r="G240" t="s">
        <v>848</v>
      </c>
    </row>
    <row r="241" spans="1:7" x14ac:dyDescent="0.3">
      <c r="A241" t="s">
        <v>534</v>
      </c>
      <c r="B241" t="s">
        <v>535</v>
      </c>
      <c r="C241" t="s">
        <v>536</v>
      </c>
      <c r="D241" t="s">
        <v>497</v>
      </c>
      <c r="E241">
        <v>2.477E-2</v>
      </c>
      <c r="F241">
        <v>2.477E-2</v>
      </c>
      <c r="G241" t="s">
        <v>851</v>
      </c>
    </row>
    <row r="242" spans="1:7" x14ac:dyDescent="0.3">
      <c r="A242" t="s">
        <v>701</v>
      </c>
      <c r="B242" t="s">
        <v>702</v>
      </c>
      <c r="C242" t="s">
        <v>189</v>
      </c>
      <c r="D242" t="s">
        <v>160</v>
      </c>
      <c r="E242">
        <v>2.6179999999999998E-2</v>
      </c>
      <c r="F242">
        <v>2.6179999999999998E-2</v>
      </c>
      <c r="G242" t="s">
        <v>854</v>
      </c>
    </row>
    <row r="243" spans="1:7" x14ac:dyDescent="0.3">
      <c r="A243" t="s">
        <v>1028</v>
      </c>
      <c r="B243" t="s">
        <v>1029</v>
      </c>
      <c r="C243" t="s">
        <v>215</v>
      </c>
      <c r="D243" t="s">
        <v>21</v>
      </c>
      <c r="E243">
        <v>2.8000000000000001E-2</v>
      </c>
      <c r="F243">
        <v>2.8000000000000001E-2</v>
      </c>
      <c r="G243" t="s">
        <v>857</v>
      </c>
    </row>
    <row r="244" spans="1:7" x14ac:dyDescent="0.3">
      <c r="A244" t="s">
        <v>522</v>
      </c>
      <c r="B244" t="s">
        <v>523</v>
      </c>
      <c r="C244" t="s">
        <v>123</v>
      </c>
      <c r="D244" t="s">
        <v>36</v>
      </c>
      <c r="E244">
        <v>2.8410000000000001E-2</v>
      </c>
      <c r="F244">
        <v>2.8410000000000001E-2</v>
      </c>
      <c r="G244" t="s">
        <v>860</v>
      </c>
    </row>
    <row r="245" spans="1:7" x14ac:dyDescent="0.3">
      <c r="A245" t="s">
        <v>716</v>
      </c>
      <c r="B245" t="s">
        <v>717</v>
      </c>
      <c r="C245" t="s">
        <v>123</v>
      </c>
      <c r="D245" t="s">
        <v>36</v>
      </c>
      <c r="E245">
        <v>2.8410000000000001E-2</v>
      </c>
      <c r="F245">
        <v>2.8410000000000001E-2</v>
      </c>
      <c r="G245" t="s">
        <v>750</v>
      </c>
    </row>
    <row r="246" spans="1:7" x14ac:dyDescent="0.3">
      <c r="A246" t="s">
        <v>354</v>
      </c>
      <c r="B246" t="s">
        <v>355</v>
      </c>
      <c r="C246" t="s">
        <v>25</v>
      </c>
      <c r="D246" t="s">
        <v>62</v>
      </c>
      <c r="E246">
        <v>3.2469999999999999E-2</v>
      </c>
      <c r="F246">
        <v>3.2469999999999999E-2</v>
      </c>
      <c r="G246" t="s">
        <v>771</v>
      </c>
    </row>
    <row r="247" spans="1:7" x14ac:dyDescent="0.3">
      <c r="A247" t="s">
        <v>165</v>
      </c>
      <c r="B247" t="s">
        <v>166</v>
      </c>
      <c r="C247" t="s">
        <v>167</v>
      </c>
      <c r="D247" t="s">
        <v>168</v>
      </c>
      <c r="E247">
        <v>3.4270000000000002E-2</v>
      </c>
      <c r="F247">
        <v>3.4270000000000002E-2</v>
      </c>
      <c r="G247" t="s">
        <v>867</v>
      </c>
    </row>
    <row r="248" spans="1:7" x14ac:dyDescent="0.3">
      <c r="A248" t="s">
        <v>817</v>
      </c>
      <c r="B248" t="s">
        <v>818</v>
      </c>
      <c r="C248" t="s">
        <v>145</v>
      </c>
      <c r="D248" t="s">
        <v>41</v>
      </c>
      <c r="E248">
        <v>4.0320000000000002E-2</v>
      </c>
      <c r="F248">
        <v>4.0320000000000002E-2</v>
      </c>
      <c r="G248" t="s">
        <v>870</v>
      </c>
    </row>
    <row r="249" spans="1:7" x14ac:dyDescent="0.3">
      <c r="A249" t="s">
        <v>1011</v>
      </c>
      <c r="B249" t="s">
        <v>1012</v>
      </c>
      <c r="C249" t="s">
        <v>20</v>
      </c>
      <c r="D249" t="s">
        <v>319</v>
      </c>
      <c r="E249">
        <v>4.0399999999999998E-2</v>
      </c>
      <c r="F249">
        <v>4.0399999999999998E-2</v>
      </c>
      <c r="G249" t="s">
        <v>873</v>
      </c>
    </row>
    <row r="250" spans="1:7" x14ac:dyDescent="0.3">
      <c r="A250" t="s">
        <v>775</v>
      </c>
      <c r="B250" t="s">
        <v>776</v>
      </c>
      <c r="C250" t="s">
        <v>327</v>
      </c>
      <c r="D250" t="s">
        <v>149</v>
      </c>
      <c r="E250">
        <v>4.3729999999999998E-2</v>
      </c>
      <c r="F250">
        <v>4.3729999999999998E-2</v>
      </c>
      <c r="G250" t="s">
        <v>876</v>
      </c>
    </row>
    <row r="251" spans="1:7" x14ac:dyDescent="0.3">
      <c r="A251" t="s">
        <v>265</v>
      </c>
      <c r="B251" t="s">
        <v>266</v>
      </c>
      <c r="C251" t="s">
        <v>110</v>
      </c>
      <c r="D251" t="s">
        <v>49</v>
      </c>
      <c r="E251">
        <v>4.3950000000000003E-2</v>
      </c>
      <c r="F251">
        <v>4.3950000000000003E-2</v>
      </c>
      <c r="G251" t="s">
        <v>879</v>
      </c>
    </row>
    <row r="252" spans="1:7" x14ac:dyDescent="0.3">
      <c r="A252" t="s">
        <v>558</v>
      </c>
      <c r="B252" t="s">
        <v>559</v>
      </c>
      <c r="C252" t="s">
        <v>110</v>
      </c>
      <c r="D252" t="s">
        <v>49</v>
      </c>
      <c r="E252">
        <v>4.3950000000000003E-2</v>
      </c>
      <c r="F252">
        <v>4.3950000000000003E-2</v>
      </c>
      <c r="G252" t="s">
        <v>721</v>
      </c>
    </row>
    <row r="253" spans="1:7" x14ac:dyDescent="0.3">
      <c r="A253" t="s">
        <v>825</v>
      </c>
      <c r="B253" t="s">
        <v>826</v>
      </c>
      <c r="C253" t="s">
        <v>110</v>
      </c>
      <c r="D253" t="s">
        <v>49</v>
      </c>
      <c r="E253">
        <v>4.3950000000000003E-2</v>
      </c>
      <c r="F253">
        <v>4.3950000000000003E-2</v>
      </c>
      <c r="G253" t="s">
        <v>884</v>
      </c>
    </row>
    <row r="254" spans="1:7" x14ac:dyDescent="0.3">
      <c r="A254" t="s">
        <v>1016</v>
      </c>
      <c r="B254" t="s">
        <v>1017</v>
      </c>
      <c r="C254" t="s">
        <v>110</v>
      </c>
      <c r="D254" t="s">
        <v>49</v>
      </c>
      <c r="E254">
        <v>4.3950000000000003E-2</v>
      </c>
      <c r="F254">
        <v>4.3950000000000003E-2</v>
      </c>
      <c r="G254" t="s">
        <v>887</v>
      </c>
    </row>
    <row r="255" spans="1:7" x14ac:dyDescent="0.3">
      <c r="A255" t="s">
        <v>1097</v>
      </c>
      <c r="B255" t="s">
        <v>1098</v>
      </c>
      <c r="C255" t="s">
        <v>110</v>
      </c>
      <c r="D255" t="s">
        <v>49</v>
      </c>
      <c r="E255">
        <v>4.3950000000000003E-2</v>
      </c>
      <c r="F255">
        <v>4.3950000000000003E-2</v>
      </c>
      <c r="G255" t="s">
        <v>890</v>
      </c>
    </row>
    <row r="256" spans="1:7" x14ac:dyDescent="0.3">
      <c r="A256" t="s">
        <v>1108</v>
      </c>
      <c r="B256" t="s">
        <v>1109</v>
      </c>
      <c r="C256" t="s">
        <v>110</v>
      </c>
      <c r="D256" t="s">
        <v>49</v>
      </c>
      <c r="E256">
        <v>4.3950000000000003E-2</v>
      </c>
      <c r="F256">
        <v>4.3950000000000003E-2</v>
      </c>
      <c r="G256" t="s">
        <v>893</v>
      </c>
    </row>
    <row r="257" spans="1:7" x14ac:dyDescent="0.3">
      <c r="A257" t="s">
        <v>1135</v>
      </c>
      <c r="B257" t="s">
        <v>1136</v>
      </c>
      <c r="C257" t="s">
        <v>110</v>
      </c>
      <c r="D257" t="s">
        <v>49</v>
      </c>
      <c r="E257">
        <v>4.3950000000000003E-2</v>
      </c>
      <c r="F257">
        <v>4.3950000000000003E-2</v>
      </c>
      <c r="G257" t="s">
        <v>896</v>
      </c>
    </row>
    <row r="258" spans="1:7" x14ac:dyDescent="0.3">
      <c r="A258" t="s">
        <v>126</v>
      </c>
      <c r="B258" t="s">
        <v>127</v>
      </c>
      <c r="C258" t="s">
        <v>35</v>
      </c>
      <c r="D258" t="s">
        <v>128</v>
      </c>
      <c r="E258">
        <v>5.0349999999999999E-2</v>
      </c>
      <c r="F258">
        <v>5.0349999999999999E-2</v>
      </c>
      <c r="G258" t="s">
        <v>899</v>
      </c>
    </row>
    <row r="259" spans="1:7" x14ac:dyDescent="0.3">
      <c r="A259" t="s">
        <v>346</v>
      </c>
      <c r="B259" t="s">
        <v>347</v>
      </c>
      <c r="C259" t="s">
        <v>207</v>
      </c>
      <c r="D259" t="s">
        <v>193</v>
      </c>
      <c r="E259">
        <v>6.2570000000000001E-2</v>
      </c>
      <c r="F259">
        <v>6.2570000000000001E-2</v>
      </c>
      <c r="G259" t="s">
        <v>902</v>
      </c>
    </row>
    <row r="260" spans="1:7" x14ac:dyDescent="0.3">
      <c r="A260" t="s">
        <v>391</v>
      </c>
      <c r="B260" t="s">
        <v>392</v>
      </c>
      <c r="C260" t="s">
        <v>207</v>
      </c>
      <c r="D260" t="s">
        <v>193</v>
      </c>
      <c r="E260">
        <v>6.2570000000000001E-2</v>
      </c>
      <c r="F260">
        <v>6.2570000000000001E-2</v>
      </c>
      <c r="G260" t="s">
        <v>884</v>
      </c>
    </row>
    <row r="261" spans="1:7" x14ac:dyDescent="0.3">
      <c r="A261" t="s">
        <v>1043</v>
      </c>
      <c r="B261" t="s">
        <v>1044</v>
      </c>
      <c r="C261" t="s">
        <v>123</v>
      </c>
      <c r="D261" t="s">
        <v>45</v>
      </c>
      <c r="E261">
        <v>7.0169999999999996E-2</v>
      </c>
      <c r="F261">
        <v>7.0169999999999996E-2</v>
      </c>
      <c r="G261" t="s">
        <v>907</v>
      </c>
    </row>
    <row r="262" spans="1:7" x14ac:dyDescent="0.3">
      <c r="A262" t="s">
        <v>995</v>
      </c>
      <c r="B262" t="s">
        <v>996</v>
      </c>
      <c r="C262" t="s">
        <v>10</v>
      </c>
      <c r="D262" t="s">
        <v>132</v>
      </c>
      <c r="E262">
        <v>7.0499999999999993E-2</v>
      </c>
      <c r="F262">
        <v>7.0499999999999993E-2</v>
      </c>
      <c r="G262" t="s">
        <v>910</v>
      </c>
    </row>
    <row r="263" spans="1:7" x14ac:dyDescent="0.3">
      <c r="A263" t="s">
        <v>99</v>
      </c>
      <c r="B263" t="s">
        <v>100</v>
      </c>
      <c r="C263" t="s">
        <v>40</v>
      </c>
      <c r="D263" t="s">
        <v>101</v>
      </c>
      <c r="E263">
        <v>7.6439999999999994E-2</v>
      </c>
      <c r="F263">
        <v>7.6439999999999994E-2</v>
      </c>
      <c r="G263" t="s">
        <v>913</v>
      </c>
    </row>
    <row r="264" spans="1:7" x14ac:dyDescent="0.3">
      <c r="A264" t="s">
        <v>809</v>
      </c>
      <c r="B264" t="s">
        <v>810</v>
      </c>
      <c r="C264" t="s">
        <v>40</v>
      </c>
      <c r="D264" t="s">
        <v>101</v>
      </c>
      <c r="E264">
        <v>7.6439999999999994E-2</v>
      </c>
      <c r="F264">
        <v>7.6439999999999994E-2</v>
      </c>
      <c r="G264" t="s">
        <v>916</v>
      </c>
    </row>
    <row r="265" spans="1:7" x14ac:dyDescent="0.3">
      <c r="A265" t="s">
        <v>944</v>
      </c>
      <c r="B265" t="s">
        <v>945</v>
      </c>
      <c r="C265" t="s">
        <v>40</v>
      </c>
      <c r="D265" t="s">
        <v>101</v>
      </c>
      <c r="E265">
        <v>7.6439999999999994E-2</v>
      </c>
      <c r="F265">
        <v>7.6439999999999994E-2</v>
      </c>
      <c r="G265" t="s">
        <v>919</v>
      </c>
    </row>
    <row r="266" spans="1:7" x14ac:dyDescent="0.3">
      <c r="A266" t="s">
        <v>1116</v>
      </c>
      <c r="B266" t="s">
        <v>1117</v>
      </c>
      <c r="C266" t="s">
        <v>40</v>
      </c>
      <c r="D266" t="s">
        <v>101</v>
      </c>
      <c r="E266">
        <v>7.6439999999999994E-2</v>
      </c>
      <c r="F266">
        <v>7.6439999999999994E-2</v>
      </c>
      <c r="G266" t="s">
        <v>922</v>
      </c>
    </row>
    <row r="267" spans="1:7" x14ac:dyDescent="0.3">
      <c r="A267" t="s">
        <v>75</v>
      </c>
      <c r="B267" t="s">
        <v>76</v>
      </c>
      <c r="C267" t="s">
        <v>57</v>
      </c>
      <c r="D267" t="s">
        <v>77</v>
      </c>
      <c r="E267">
        <v>8.566E-2</v>
      </c>
      <c r="F267">
        <v>8.566E-2</v>
      </c>
      <c r="G267" t="s">
        <v>925</v>
      </c>
    </row>
    <row r="268" spans="1:7" x14ac:dyDescent="0.3">
      <c r="A268" t="s">
        <v>180</v>
      </c>
      <c r="B268" t="s">
        <v>181</v>
      </c>
      <c r="C268" t="s">
        <v>57</v>
      </c>
      <c r="D268" t="s">
        <v>77</v>
      </c>
      <c r="E268">
        <v>8.566E-2</v>
      </c>
      <c r="F268">
        <v>8.566E-2</v>
      </c>
      <c r="G268" t="s">
        <v>928</v>
      </c>
    </row>
    <row r="269" spans="1:7" x14ac:dyDescent="0.3">
      <c r="A269" t="s">
        <v>238</v>
      </c>
      <c r="B269" t="s">
        <v>239</v>
      </c>
      <c r="C269" t="s">
        <v>57</v>
      </c>
      <c r="D269" t="s">
        <v>77</v>
      </c>
      <c r="E269">
        <v>8.566E-2</v>
      </c>
      <c r="F269">
        <v>8.566E-2</v>
      </c>
      <c r="G269" t="s">
        <v>931</v>
      </c>
    </row>
    <row r="270" spans="1:7" x14ac:dyDescent="0.3">
      <c r="A270" t="s">
        <v>241</v>
      </c>
      <c r="B270" t="s">
        <v>242</v>
      </c>
      <c r="C270" t="s">
        <v>57</v>
      </c>
      <c r="D270" t="s">
        <v>77</v>
      </c>
      <c r="E270">
        <v>8.566E-2</v>
      </c>
      <c r="F270">
        <v>8.566E-2</v>
      </c>
      <c r="G270" t="s">
        <v>934</v>
      </c>
    </row>
    <row r="271" spans="1:7" x14ac:dyDescent="0.3">
      <c r="A271" t="s">
        <v>476</v>
      </c>
      <c r="B271" t="s">
        <v>477</v>
      </c>
      <c r="C271" t="s">
        <v>57</v>
      </c>
      <c r="D271" t="s">
        <v>77</v>
      </c>
      <c r="E271">
        <v>8.566E-2</v>
      </c>
      <c r="F271">
        <v>8.566E-2</v>
      </c>
      <c r="G271" t="s">
        <v>937</v>
      </c>
    </row>
    <row r="272" spans="1:7" x14ac:dyDescent="0.3">
      <c r="A272" t="s">
        <v>823</v>
      </c>
      <c r="B272" t="s">
        <v>824</v>
      </c>
      <c r="C272" t="s">
        <v>57</v>
      </c>
      <c r="D272" t="s">
        <v>77</v>
      </c>
      <c r="E272">
        <v>8.566E-2</v>
      </c>
      <c r="F272">
        <v>8.566E-2</v>
      </c>
      <c r="G272" t="s">
        <v>940</v>
      </c>
    </row>
    <row r="273" spans="1:7" x14ac:dyDescent="0.3">
      <c r="A273" t="s">
        <v>1014</v>
      </c>
      <c r="B273" t="s">
        <v>1015</v>
      </c>
      <c r="C273" t="s">
        <v>57</v>
      </c>
      <c r="D273" t="s">
        <v>77</v>
      </c>
      <c r="E273">
        <v>8.566E-2</v>
      </c>
      <c r="F273">
        <v>8.566E-2</v>
      </c>
      <c r="G273" t="s">
        <v>943</v>
      </c>
    </row>
    <row r="274" spans="1:7" x14ac:dyDescent="0.3">
      <c r="A274" t="s">
        <v>1119</v>
      </c>
      <c r="B274" t="s">
        <v>1120</v>
      </c>
      <c r="C274" t="s">
        <v>167</v>
      </c>
      <c r="D274" t="s">
        <v>414</v>
      </c>
      <c r="E274">
        <v>9.0010000000000007E-2</v>
      </c>
      <c r="F274">
        <v>9.0010000000000007E-2</v>
      </c>
      <c r="G274" t="s">
        <v>946</v>
      </c>
    </row>
    <row r="275" spans="1:7" x14ac:dyDescent="0.3">
      <c r="A275" t="s">
        <v>388</v>
      </c>
      <c r="B275" t="s">
        <v>389</v>
      </c>
      <c r="C275" t="s">
        <v>20</v>
      </c>
      <c r="D275" t="s">
        <v>36</v>
      </c>
      <c r="E275">
        <v>9.3689999999999996E-2</v>
      </c>
      <c r="F275">
        <v>9.3689999999999996E-2</v>
      </c>
      <c r="G275" t="s">
        <v>948</v>
      </c>
    </row>
    <row r="276" spans="1:7" x14ac:dyDescent="0.3">
      <c r="A276" t="s">
        <v>855</v>
      </c>
      <c r="B276" t="s">
        <v>856</v>
      </c>
      <c r="C276" t="s">
        <v>20</v>
      </c>
      <c r="D276" t="s">
        <v>36</v>
      </c>
      <c r="E276">
        <v>9.3689999999999996E-2</v>
      </c>
      <c r="F276">
        <v>9.3689999999999996E-2</v>
      </c>
      <c r="G276" t="s">
        <v>949</v>
      </c>
    </row>
    <row r="277" spans="1:7" x14ac:dyDescent="0.3">
      <c r="A277" t="s">
        <v>1088</v>
      </c>
      <c r="B277" t="s">
        <v>1089</v>
      </c>
      <c r="C277" t="s">
        <v>145</v>
      </c>
      <c r="D277" t="s">
        <v>136</v>
      </c>
      <c r="E277">
        <v>0.11651</v>
      </c>
      <c r="F277">
        <v>0.11651</v>
      </c>
      <c r="G277" t="s">
        <v>954</v>
      </c>
    </row>
    <row r="278" spans="1:7" x14ac:dyDescent="0.3">
      <c r="A278" t="s">
        <v>1113</v>
      </c>
      <c r="B278" t="s">
        <v>1114</v>
      </c>
      <c r="C278" t="s">
        <v>145</v>
      </c>
      <c r="D278" t="s">
        <v>136</v>
      </c>
      <c r="E278">
        <v>0.11651</v>
      </c>
      <c r="F278">
        <v>0.11651</v>
      </c>
      <c r="G278" t="s">
        <v>958</v>
      </c>
    </row>
    <row r="279" spans="1:7" x14ac:dyDescent="0.3">
      <c r="A279" t="s">
        <v>303</v>
      </c>
      <c r="B279" t="s">
        <v>304</v>
      </c>
      <c r="C279" t="s">
        <v>10</v>
      </c>
      <c r="D279" t="s">
        <v>305</v>
      </c>
      <c r="E279">
        <v>0.12716</v>
      </c>
      <c r="F279">
        <v>0.12716</v>
      </c>
      <c r="G279" t="s">
        <v>963</v>
      </c>
    </row>
    <row r="280" spans="1:7" x14ac:dyDescent="0.3">
      <c r="A280" t="s">
        <v>183</v>
      </c>
      <c r="B280" t="s">
        <v>184</v>
      </c>
      <c r="C280" t="s">
        <v>110</v>
      </c>
      <c r="D280" t="s">
        <v>185</v>
      </c>
      <c r="E280">
        <v>0.15132999999999999</v>
      </c>
      <c r="F280">
        <v>0.15132999999999999</v>
      </c>
      <c r="G280" t="s">
        <v>967</v>
      </c>
    </row>
    <row r="281" spans="1:7" x14ac:dyDescent="0.3">
      <c r="A281" t="s">
        <v>221</v>
      </c>
      <c r="B281" t="s">
        <v>222</v>
      </c>
      <c r="C281" t="s">
        <v>110</v>
      </c>
      <c r="D281" t="s">
        <v>185</v>
      </c>
      <c r="E281">
        <v>0.15132999999999999</v>
      </c>
      <c r="F281">
        <v>0.15132999999999999</v>
      </c>
      <c r="G281" t="s">
        <v>972</v>
      </c>
    </row>
    <row r="282" spans="1:7" x14ac:dyDescent="0.3">
      <c r="A282" t="s">
        <v>262</v>
      </c>
      <c r="B282" t="s">
        <v>263</v>
      </c>
      <c r="C282" t="s">
        <v>110</v>
      </c>
      <c r="D282" t="s">
        <v>185</v>
      </c>
      <c r="E282">
        <v>0.15132999999999999</v>
      </c>
      <c r="F282">
        <v>0.15132999999999999</v>
      </c>
      <c r="G282" t="s">
        <v>854</v>
      </c>
    </row>
    <row r="283" spans="1:7" x14ac:dyDescent="0.3">
      <c r="A283" t="s">
        <v>375</v>
      </c>
      <c r="B283" t="s">
        <v>376</v>
      </c>
      <c r="C283" t="s">
        <v>110</v>
      </c>
      <c r="D283" t="s">
        <v>185</v>
      </c>
      <c r="E283">
        <v>0.15132999999999999</v>
      </c>
      <c r="F283">
        <v>0.15132999999999999</v>
      </c>
      <c r="G283" t="s">
        <v>977</v>
      </c>
    </row>
    <row r="284" spans="1:7" x14ac:dyDescent="0.3">
      <c r="A284" t="s">
        <v>396</v>
      </c>
      <c r="B284" t="s">
        <v>397</v>
      </c>
      <c r="C284" t="s">
        <v>110</v>
      </c>
      <c r="D284" t="s">
        <v>185</v>
      </c>
      <c r="E284">
        <v>0.15132999999999999</v>
      </c>
      <c r="F284">
        <v>0.15132999999999999</v>
      </c>
      <c r="G284" t="s">
        <v>980</v>
      </c>
    </row>
    <row r="285" spans="1:7" x14ac:dyDescent="0.3">
      <c r="A285" t="s">
        <v>807</v>
      </c>
      <c r="B285" t="s">
        <v>808</v>
      </c>
      <c r="C285" t="s">
        <v>110</v>
      </c>
      <c r="D285" t="s">
        <v>185</v>
      </c>
      <c r="E285">
        <v>0.15132999999999999</v>
      </c>
      <c r="F285">
        <v>0.15132999999999999</v>
      </c>
      <c r="G285" t="s">
        <v>980</v>
      </c>
    </row>
    <row r="286" spans="1:7" x14ac:dyDescent="0.3">
      <c r="A286" t="s">
        <v>917</v>
      </c>
      <c r="B286" t="s">
        <v>918</v>
      </c>
      <c r="C286" t="s">
        <v>123</v>
      </c>
      <c r="D286" t="s">
        <v>128</v>
      </c>
      <c r="E286">
        <v>0.15858</v>
      </c>
      <c r="F286">
        <v>0.15858</v>
      </c>
      <c r="G286" t="s">
        <v>985</v>
      </c>
    </row>
    <row r="287" spans="1:7" x14ac:dyDescent="0.3">
      <c r="A287" t="s">
        <v>291</v>
      </c>
      <c r="B287" t="s">
        <v>292</v>
      </c>
      <c r="C287" t="s">
        <v>207</v>
      </c>
      <c r="D287" t="s">
        <v>41</v>
      </c>
      <c r="E287">
        <v>0.16259000000000001</v>
      </c>
      <c r="F287">
        <v>0.16259000000000001</v>
      </c>
      <c r="G287" t="s">
        <v>988</v>
      </c>
    </row>
    <row r="288" spans="1:7" x14ac:dyDescent="0.3">
      <c r="A288" t="s">
        <v>43</v>
      </c>
      <c r="B288" t="s">
        <v>44</v>
      </c>
      <c r="C288" t="s">
        <v>20</v>
      </c>
      <c r="D288" t="s">
        <v>45</v>
      </c>
      <c r="E288">
        <v>0.19839000000000001</v>
      </c>
      <c r="F288">
        <v>0.19839000000000001</v>
      </c>
      <c r="G288" t="s">
        <v>991</v>
      </c>
    </row>
    <row r="289" spans="1:7" x14ac:dyDescent="0.3">
      <c r="A289" t="s">
        <v>333</v>
      </c>
      <c r="B289" t="s">
        <v>334</v>
      </c>
      <c r="C289" t="s">
        <v>20</v>
      </c>
      <c r="D289" t="s">
        <v>45</v>
      </c>
      <c r="E289">
        <v>0.19839000000000001</v>
      </c>
      <c r="F289">
        <v>0.19839000000000001</v>
      </c>
      <c r="G289" t="s">
        <v>994</v>
      </c>
    </row>
    <row r="290" spans="1:7" x14ac:dyDescent="0.3">
      <c r="A290" t="s">
        <v>986</v>
      </c>
      <c r="B290" t="s">
        <v>987</v>
      </c>
      <c r="C290" t="s">
        <v>20</v>
      </c>
      <c r="D290" t="s">
        <v>45</v>
      </c>
      <c r="E290">
        <v>0.19839000000000001</v>
      </c>
      <c r="F290">
        <v>0.19839000000000001</v>
      </c>
      <c r="G290" t="s">
        <v>997</v>
      </c>
    </row>
    <row r="291" spans="1:7" x14ac:dyDescent="0.3">
      <c r="A291" t="s">
        <v>1079</v>
      </c>
      <c r="B291" t="s">
        <v>1080</v>
      </c>
      <c r="C291" t="s">
        <v>20</v>
      </c>
      <c r="D291" t="s">
        <v>45</v>
      </c>
      <c r="E291">
        <v>0.19839000000000001</v>
      </c>
      <c r="F291">
        <v>0.19839000000000001</v>
      </c>
      <c r="G291" t="s">
        <v>1001</v>
      </c>
    </row>
    <row r="292" spans="1:7" x14ac:dyDescent="0.3">
      <c r="A292" t="s">
        <v>538</v>
      </c>
      <c r="B292" t="s">
        <v>539</v>
      </c>
      <c r="C292" t="s">
        <v>215</v>
      </c>
      <c r="D292" t="s">
        <v>26</v>
      </c>
      <c r="E292">
        <v>0.20183000000000001</v>
      </c>
      <c r="F292">
        <v>0.20183000000000001</v>
      </c>
      <c r="G292" t="s">
        <v>1005</v>
      </c>
    </row>
    <row r="293" spans="1:7" x14ac:dyDescent="0.3">
      <c r="A293" t="s">
        <v>352</v>
      </c>
      <c r="B293" t="s">
        <v>353</v>
      </c>
      <c r="C293" t="s">
        <v>167</v>
      </c>
      <c r="D293" t="s">
        <v>193</v>
      </c>
      <c r="E293">
        <v>0.21304999999999999</v>
      </c>
      <c r="F293">
        <v>0.21304999999999999</v>
      </c>
      <c r="G293" t="s">
        <v>768</v>
      </c>
    </row>
    <row r="294" spans="1:7" x14ac:dyDescent="0.3">
      <c r="A294" t="s">
        <v>827</v>
      </c>
      <c r="B294" t="s">
        <v>828</v>
      </c>
      <c r="C294" t="s">
        <v>167</v>
      </c>
      <c r="D294" t="s">
        <v>193</v>
      </c>
      <c r="E294">
        <v>0.21304999999999999</v>
      </c>
      <c r="F294">
        <v>0.21304999999999999</v>
      </c>
      <c r="G294" t="s">
        <v>1010</v>
      </c>
    </row>
    <row r="295" spans="1:7" x14ac:dyDescent="0.3">
      <c r="A295" t="s">
        <v>1034</v>
      </c>
      <c r="B295" t="s">
        <v>1035</v>
      </c>
      <c r="C295" t="s">
        <v>167</v>
      </c>
      <c r="D295" t="s">
        <v>193</v>
      </c>
      <c r="E295">
        <v>0.21304999999999999</v>
      </c>
      <c r="F295">
        <v>0.21304999999999999</v>
      </c>
      <c r="G295" t="s">
        <v>1013</v>
      </c>
    </row>
    <row r="296" spans="1:7" x14ac:dyDescent="0.3">
      <c r="A296" t="s">
        <v>47</v>
      </c>
      <c r="B296" t="s">
        <v>48</v>
      </c>
      <c r="C296" t="s">
        <v>40</v>
      </c>
      <c r="D296" t="s">
        <v>49</v>
      </c>
      <c r="E296">
        <v>0.22328000000000001</v>
      </c>
      <c r="F296">
        <v>0.22328000000000001</v>
      </c>
      <c r="G296" t="s">
        <v>768</v>
      </c>
    </row>
    <row r="297" spans="1:7" x14ac:dyDescent="0.3">
      <c r="A297" t="s">
        <v>244</v>
      </c>
      <c r="B297" t="s">
        <v>245</v>
      </c>
      <c r="C297" t="s">
        <v>40</v>
      </c>
      <c r="D297" t="s">
        <v>49</v>
      </c>
      <c r="E297">
        <v>0.22328000000000001</v>
      </c>
      <c r="F297">
        <v>0.22328000000000001</v>
      </c>
      <c r="G297" t="s">
        <v>1018</v>
      </c>
    </row>
    <row r="298" spans="1:7" x14ac:dyDescent="0.3">
      <c r="A298" t="s">
        <v>585</v>
      </c>
      <c r="B298" t="s">
        <v>586</v>
      </c>
      <c r="C298" t="s">
        <v>40</v>
      </c>
      <c r="D298" t="s">
        <v>49</v>
      </c>
      <c r="E298">
        <v>0.22328000000000001</v>
      </c>
      <c r="F298">
        <v>0.22328000000000001</v>
      </c>
      <c r="G298" t="s">
        <v>1021</v>
      </c>
    </row>
    <row r="299" spans="1:7" x14ac:dyDescent="0.3">
      <c r="A299" t="s">
        <v>722</v>
      </c>
      <c r="B299" t="s">
        <v>723</v>
      </c>
      <c r="C299" t="s">
        <v>40</v>
      </c>
      <c r="D299" t="s">
        <v>49</v>
      </c>
      <c r="E299">
        <v>0.22328000000000001</v>
      </c>
      <c r="F299">
        <v>0.22328000000000001</v>
      </c>
      <c r="G299" t="s">
        <v>1024</v>
      </c>
    </row>
    <row r="300" spans="1:7" x14ac:dyDescent="0.3">
      <c r="A300" t="s">
        <v>743</v>
      </c>
      <c r="B300" t="s">
        <v>744</v>
      </c>
      <c r="C300" t="s">
        <v>40</v>
      </c>
      <c r="D300" t="s">
        <v>49</v>
      </c>
      <c r="E300">
        <v>0.22328000000000001</v>
      </c>
      <c r="F300">
        <v>0.22328000000000001</v>
      </c>
      <c r="G300" t="s">
        <v>1027</v>
      </c>
    </row>
    <row r="301" spans="1:7" x14ac:dyDescent="0.3">
      <c r="A301" t="s">
        <v>914</v>
      </c>
      <c r="B301" t="s">
        <v>915</v>
      </c>
      <c r="C301" t="s">
        <v>40</v>
      </c>
      <c r="D301" t="s">
        <v>49</v>
      </c>
      <c r="E301">
        <v>0.22328000000000001</v>
      </c>
      <c r="F301">
        <v>0.22328000000000001</v>
      </c>
      <c r="G301" t="s">
        <v>1030</v>
      </c>
    </row>
    <row r="302" spans="1:7" x14ac:dyDescent="0.3">
      <c r="A302" t="s">
        <v>1022</v>
      </c>
      <c r="B302" t="s">
        <v>1023</v>
      </c>
      <c r="C302" t="s">
        <v>40</v>
      </c>
      <c r="D302" t="s">
        <v>49</v>
      </c>
      <c r="E302">
        <v>0.22328000000000001</v>
      </c>
      <c r="F302">
        <v>0.22328000000000001</v>
      </c>
      <c r="G302" t="s">
        <v>1033</v>
      </c>
    </row>
    <row r="303" spans="1:7" x14ac:dyDescent="0.3">
      <c r="A303" t="s">
        <v>959</v>
      </c>
      <c r="B303" t="s">
        <v>960</v>
      </c>
      <c r="C303" t="s">
        <v>961</v>
      </c>
      <c r="D303" t="s">
        <v>962</v>
      </c>
      <c r="E303">
        <v>0.2296</v>
      </c>
      <c r="F303">
        <v>0.2296</v>
      </c>
      <c r="G303" t="s">
        <v>1036</v>
      </c>
    </row>
    <row r="304" spans="1:7" x14ac:dyDescent="0.3">
      <c r="A304" t="s">
        <v>547</v>
      </c>
      <c r="B304" t="s">
        <v>548</v>
      </c>
      <c r="C304" t="s">
        <v>233</v>
      </c>
      <c r="D304" t="s">
        <v>31</v>
      </c>
      <c r="E304">
        <v>0.23430000000000001</v>
      </c>
      <c r="F304">
        <v>0.23430000000000001</v>
      </c>
      <c r="G304" t="s">
        <v>1039</v>
      </c>
    </row>
    <row r="305" spans="1:7" x14ac:dyDescent="0.3">
      <c r="A305" t="s">
        <v>1052</v>
      </c>
      <c r="B305" t="s">
        <v>1053</v>
      </c>
      <c r="C305" t="s">
        <v>300</v>
      </c>
      <c r="D305" t="s">
        <v>305</v>
      </c>
      <c r="E305">
        <v>0.24537</v>
      </c>
      <c r="F305">
        <v>0.24537</v>
      </c>
      <c r="G305" t="s">
        <v>1042</v>
      </c>
    </row>
    <row r="306" spans="1:7" x14ac:dyDescent="0.3">
      <c r="A306" t="s">
        <v>784</v>
      </c>
      <c r="B306" t="s">
        <v>785</v>
      </c>
      <c r="C306" t="s">
        <v>145</v>
      </c>
      <c r="D306" t="s">
        <v>101</v>
      </c>
      <c r="E306">
        <v>0.29714000000000002</v>
      </c>
      <c r="F306">
        <v>0.29714000000000002</v>
      </c>
      <c r="G306" t="s">
        <v>1045</v>
      </c>
    </row>
    <row r="307" spans="1:7" x14ac:dyDescent="0.3">
      <c r="A307" t="s">
        <v>790</v>
      </c>
      <c r="B307" t="s">
        <v>791</v>
      </c>
      <c r="C307" t="s">
        <v>145</v>
      </c>
      <c r="D307" t="s">
        <v>101</v>
      </c>
      <c r="E307">
        <v>0.29714000000000002</v>
      </c>
      <c r="F307">
        <v>0.29714000000000002</v>
      </c>
      <c r="G307" t="s">
        <v>1046</v>
      </c>
    </row>
    <row r="308" spans="1:7" x14ac:dyDescent="0.3">
      <c r="A308" t="s">
        <v>973</v>
      </c>
      <c r="B308" t="s">
        <v>974</v>
      </c>
      <c r="C308" t="s">
        <v>145</v>
      </c>
      <c r="D308" t="s">
        <v>101</v>
      </c>
      <c r="E308">
        <v>0.29714000000000002</v>
      </c>
      <c r="F308">
        <v>0.29714000000000002</v>
      </c>
      <c r="G308" t="s">
        <v>1047</v>
      </c>
    </row>
    <row r="309" spans="1:7" x14ac:dyDescent="0.3">
      <c r="A309" t="s">
        <v>891</v>
      </c>
      <c r="B309" t="s">
        <v>892</v>
      </c>
      <c r="C309" t="s">
        <v>123</v>
      </c>
      <c r="D309" t="s">
        <v>168</v>
      </c>
      <c r="E309">
        <v>0.32095000000000001</v>
      </c>
      <c r="F309">
        <v>0.32095000000000001</v>
      </c>
      <c r="G309" t="s">
        <v>1050</v>
      </c>
    </row>
    <row r="310" spans="1:7" x14ac:dyDescent="0.3">
      <c r="A310" t="s">
        <v>366</v>
      </c>
      <c r="B310" t="s">
        <v>367</v>
      </c>
      <c r="C310" t="s">
        <v>57</v>
      </c>
      <c r="D310" t="s">
        <v>368</v>
      </c>
      <c r="E310">
        <v>0.32769999999999999</v>
      </c>
      <c r="F310">
        <v>0.32769999999999999</v>
      </c>
      <c r="G310" t="s">
        <v>1051</v>
      </c>
    </row>
    <row r="311" spans="1:7" x14ac:dyDescent="0.3">
      <c r="A311" t="s">
        <v>519</v>
      </c>
      <c r="B311" t="s">
        <v>520</v>
      </c>
      <c r="C311" t="s">
        <v>57</v>
      </c>
      <c r="D311" t="s">
        <v>368</v>
      </c>
      <c r="E311">
        <v>0.32769999999999999</v>
      </c>
      <c r="F311">
        <v>0.32769999999999999</v>
      </c>
      <c r="G311" t="s">
        <v>1054</v>
      </c>
    </row>
    <row r="312" spans="1:7" x14ac:dyDescent="0.3">
      <c r="A312" t="s">
        <v>932</v>
      </c>
      <c r="B312" t="s">
        <v>933</v>
      </c>
      <c r="C312" t="s">
        <v>57</v>
      </c>
      <c r="D312" t="s">
        <v>368</v>
      </c>
      <c r="E312">
        <v>0.32769999999999999</v>
      </c>
      <c r="F312">
        <v>0.32769999999999999</v>
      </c>
      <c r="G312" t="s">
        <v>1057</v>
      </c>
    </row>
    <row r="313" spans="1:7" x14ac:dyDescent="0.3">
      <c r="A313" t="s">
        <v>978</v>
      </c>
      <c r="B313" t="s">
        <v>979</v>
      </c>
      <c r="C313" t="s">
        <v>57</v>
      </c>
      <c r="D313" t="s">
        <v>368</v>
      </c>
      <c r="E313">
        <v>0.32769999999999999</v>
      </c>
      <c r="F313">
        <v>0.32769999999999999</v>
      </c>
      <c r="G313" t="s">
        <v>1062</v>
      </c>
    </row>
    <row r="314" spans="1:7" x14ac:dyDescent="0.3">
      <c r="A314" t="s">
        <v>205</v>
      </c>
      <c r="B314" t="s">
        <v>206</v>
      </c>
      <c r="C314" t="s">
        <v>207</v>
      </c>
      <c r="D314" t="s">
        <v>136</v>
      </c>
      <c r="E314">
        <v>0.36990000000000001</v>
      </c>
      <c r="F314">
        <v>0.36990000000000001</v>
      </c>
      <c r="G314" t="s">
        <v>1063</v>
      </c>
    </row>
    <row r="315" spans="1:7" x14ac:dyDescent="0.3">
      <c r="A315" t="s">
        <v>725</v>
      </c>
      <c r="B315" t="s">
        <v>726</v>
      </c>
      <c r="C315" t="s">
        <v>207</v>
      </c>
      <c r="D315" t="s">
        <v>136</v>
      </c>
      <c r="E315">
        <v>0.36990000000000001</v>
      </c>
      <c r="F315">
        <v>0.36990000000000001</v>
      </c>
      <c r="G315" t="s">
        <v>1066</v>
      </c>
    </row>
    <row r="316" spans="1:7" x14ac:dyDescent="0.3">
      <c r="A316" t="s">
        <v>938</v>
      </c>
      <c r="B316" t="s">
        <v>939</v>
      </c>
      <c r="C316" t="s">
        <v>167</v>
      </c>
      <c r="D316" t="s">
        <v>41</v>
      </c>
      <c r="E316">
        <v>0.43957000000000002</v>
      </c>
      <c r="F316">
        <v>0.43957000000000002</v>
      </c>
      <c r="G316" t="s">
        <v>1067</v>
      </c>
    </row>
    <row r="317" spans="1:7" x14ac:dyDescent="0.3">
      <c r="A317" t="s">
        <v>502</v>
      </c>
      <c r="B317" t="s">
        <v>503</v>
      </c>
      <c r="C317" t="s">
        <v>282</v>
      </c>
      <c r="D317" t="s">
        <v>132</v>
      </c>
      <c r="E317">
        <v>0.44888</v>
      </c>
      <c r="F317">
        <v>0.44888</v>
      </c>
      <c r="G317" t="s">
        <v>1070</v>
      </c>
    </row>
    <row r="318" spans="1:7" x14ac:dyDescent="0.3">
      <c r="A318" t="s">
        <v>108</v>
      </c>
      <c r="B318" t="s">
        <v>109</v>
      </c>
      <c r="C318" t="s">
        <v>110</v>
      </c>
      <c r="D318" t="s">
        <v>77</v>
      </c>
      <c r="E318">
        <v>0.44908999999999999</v>
      </c>
      <c r="F318">
        <v>0.44908999999999999</v>
      </c>
      <c r="G318" t="s">
        <v>1073</v>
      </c>
    </row>
    <row r="319" spans="1:7" x14ac:dyDescent="0.3">
      <c r="A319" t="s">
        <v>177</v>
      </c>
      <c r="B319" t="s">
        <v>178</v>
      </c>
      <c r="C319" t="s">
        <v>110</v>
      </c>
      <c r="D319" t="s">
        <v>77</v>
      </c>
      <c r="E319">
        <v>0.44908999999999999</v>
      </c>
      <c r="F319">
        <v>0.44908999999999999</v>
      </c>
      <c r="G319" t="s">
        <v>1076</v>
      </c>
    </row>
    <row r="320" spans="1:7" x14ac:dyDescent="0.3">
      <c r="A320" t="s">
        <v>274</v>
      </c>
      <c r="B320" t="s">
        <v>275</v>
      </c>
      <c r="C320" t="s">
        <v>110</v>
      </c>
      <c r="D320" t="s">
        <v>77</v>
      </c>
      <c r="E320">
        <v>0.44908999999999999</v>
      </c>
      <c r="F320">
        <v>0.44908999999999999</v>
      </c>
      <c r="G320" t="s">
        <v>1077</v>
      </c>
    </row>
    <row r="321" spans="1:7" x14ac:dyDescent="0.3">
      <c r="A321" t="s">
        <v>277</v>
      </c>
      <c r="B321" t="s">
        <v>278</v>
      </c>
      <c r="C321" t="s">
        <v>110</v>
      </c>
      <c r="D321" t="s">
        <v>77</v>
      </c>
      <c r="E321">
        <v>0.44908999999999999</v>
      </c>
      <c r="F321">
        <v>0.44908999999999999</v>
      </c>
      <c r="G321" t="s">
        <v>1078</v>
      </c>
    </row>
    <row r="322" spans="1:7" x14ac:dyDescent="0.3">
      <c r="A322" t="s">
        <v>603</v>
      </c>
      <c r="B322" t="s">
        <v>604</v>
      </c>
      <c r="C322" t="s">
        <v>110</v>
      </c>
      <c r="D322" t="s">
        <v>77</v>
      </c>
      <c r="E322">
        <v>0.44908999999999999</v>
      </c>
      <c r="F322">
        <v>0.44908999999999999</v>
      </c>
      <c r="G322" t="s">
        <v>1081</v>
      </c>
    </row>
    <row r="323" spans="1:7" x14ac:dyDescent="0.3">
      <c r="A323" t="s">
        <v>778</v>
      </c>
      <c r="B323" t="s">
        <v>779</v>
      </c>
      <c r="C323" t="s">
        <v>110</v>
      </c>
      <c r="D323" t="s">
        <v>77</v>
      </c>
      <c r="E323">
        <v>0.44908999999999999</v>
      </c>
      <c r="F323">
        <v>0.44908999999999999</v>
      </c>
      <c r="G323" t="s">
        <v>1084</v>
      </c>
    </row>
    <row r="324" spans="1:7" x14ac:dyDescent="0.3">
      <c r="A324" t="s">
        <v>830</v>
      </c>
      <c r="B324" t="s">
        <v>831</v>
      </c>
      <c r="C324" t="s">
        <v>110</v>
      </c>
      <c r="D324" t="s">
        <v>77</v>
      </c>
      <c r="E324">
        <v>0.44908999999999999</v>
      </c>
      <c r="F324">
        <v>0.44908999999999999</v>
      </c>
      <c r="G324" t="s">
        <v>1087</v>
      </c>
    </row>
    <row r="325" spans="1:7" x14ac:dyDescent="0.3">
      <c r="A325" t="s">
        <v>1019</v>
      </c>
      <c r="B325" t="s">
        <v>1020</v>
      </c>
      <c r="C325" t="s">
        <v>110</v>
      </c>
      <c r="D325" t="s">
        <v>77</v>
      </c>
      <c r="E325">
        <v>0.44908999999999999</v>
      </c>
      <c r="F325">
        <v>0.44908999999999999</v>
      </c>
      <c r="G325" t="s">
        <v>1090</v>
      </c>
    </row>
    <row r="326" spans="1:7" x14ac:dyDescent="0.3">
      <c r="A326" t="s">
        <v>1110</v>
      </c>
      <c r="B326" t="s">
        <v>1111</v>
      </c>
      <c r="C326" t="s">
        <v>110</v>
      </c>
      <c r="D326" t="s">
        <v>77</v>
      </c>
      <c r="E326">
        <v>0.44908999999999999</v>
      </c>
      <c r="F326">
        <v>0.44908999999999999</v>
      </c>
      <c r="G326" t="s">
        <v>1093</v>
      </c>
    </row>
    <row r="327" spans="1:7" x14ac:dyDescent="0.3">
      <c r="A327" t="s">
        <v>336</v>
      </c>
      <c r="B327" t="s">
        <v>337</v>
      </c>
      <c r="C327" t="s">
        <v>35</v>
      </c>
      <c r="D327" t="s">
        <v>193</v>
      </c>
      <c r="E327">
        <v>0.50488</v>
      </c>
      <c r="F327">
        <v>0.50488</v>
      </c>
      <c r="G327" t="s">
        <v>1096</v>
      </c>
    </row>
    <row r="328" spans="1:7" x14ac:dyDescent="0.3">
      <c r="A328" t="s">
        <v>734</v>
      </c>
      <c r="B328" t="s">
        <v>735</v>
      </c>
      <c r="C328" t="s">
        <v>35</v>
      </c>
      <c r="D328" t="s">
        <v>193</v>
      </c>
      <c r="E328">
        <v>0.50488</v>
      </c>
      <c r="F328">
        <v>0.50488</v>
      </c>
      <c r="G328" t="s">
        <v>1099</v>
      </c>
    </row>
    <row r="329" spans="1:7" x14ac:dyDescent="0.3">
      <c r="A329" t="s">
        <v>473</v>
      </c>
      <c r="B329" t="s">
        <v>474</v>
      </c>
      <c r="C329" t="s">
        <v>40</v>
      </c>
      <c r="D329" t="s">
        <v>185</v>
      </c>
      <c r="E329">
        <v>0.54874000000000001</v>
      </c>
      <c r="F329">
        <v>0.54874000000000001</v>
      </c>
      <c r="G329" t="s">
        <v>1102</v>
      </c>
    </row>
    <row r="330" spans="1:7" x14ac:dyDescent="0.3">
      <c r="A330" t="s">
        <v>513</v>
      </c>
      <c r="B330" t="s">
        <v>514</v>
      </c>
      <c r="C330" t="s">
        <v>490</v>
      </c>
      <c r="D330" t="s">
        <v>53</v>
      </c>
      <c r="E330">
        <v>0.57352999999999998</v>
      </c>
      <c r="F330">
        <v>0.57352999999999998</v>
      </c>
      <c r="G330" t="s">
        <v>1102</v>
      </c>
    </row>
    <row r="331" spans="1:7" x14ac:dyDescent="0.3">
      <c r="A331" t="s">
        <v>143</v>
      </c>
      <c r="B331" t="s">
        <v>144</v>
      </c>
      <c r="C331" t="s">
        <v>145</v>
      </c>
      <c r="D331" t="s">
        <v>49</v>
      </c>
      <c r="E331">
        <v>0.63051999999999997</v>
      </c>
      <c r="F331">
        <v>0.63051999999999997</v>
      </c>
      <c r="G331" t="s">
        <v>1107</v>
      </c>
    </row>
    <row r="332" spans="1:7" x14ac:dyDescent="0.3">
      <c r="A332" t="s">
        <v>1025</v>
      </c>
      <c r="B332" t="s">
        <v>1026</v>
      </c>
      <c r="C332" t="s">
        <v>145</v>
      </c>
      <c r="D332" t="s">
        <v>49</v>
      </c>
      <c r="E332">
        <v>0.63051999999999997</v>
      </c>
      <c r="F332">
        <v>0.63051999999999997</v>
      </c>
      <c r="G332" t="s">
        <v>560</v>
      </c>
    </row>
    <row r="333" spans="1:7" x14ac:dyDescent="0.3">
      <c r="A333" t="s">
        <v>191</v>
      </c>
      <c r="B333" t="s">
        <v>192</v>
      </c>
      <c r="C333" t="s">
        <v>123</v>
      </c>
      <c r="D333" t="s">
        <v>193</v>
      </c>
      <c r="E333">
        <v>0.83460999999999996</v>
      </c>
      <c r="F333">
        <v>0.83460999999999996</v>
      </c>
      <c r="G333" t="s">
        <v>1112</v>
      </c>
    </row>
    <row r="334" spans="1:7" x14ac:dyDescent="0.3">
      <c r="A334" t="s">
        <v>55</v>
      </c>
      <c r="B334" t="s">
        <v>56</v>
      </c>
      <c r="C334" t="s">
        <v>57</v>
      </c>
      <c r="D334" t="s">
        <v>58</v>
      </c>
      <c r="E334">
        <v>1</v>
      </c>
      <c r="F334">
        <v>1</v>
      </c>
      <c r="G334" t="s">
        <v>1115</v>
      </c>
    </row>
    <row r="335" spans="1:7" x14ac:dyDescent="0.3">
      <c r="A335" t="s">
        <v>64</v>
      </c>
      <c r="B335" t="s">
        <v>65</v>
      </c>
      <c r="C335" t="s">
        <v>57</v>
      </c>
      <c r="D335" t="s">
        <v>58</v>
      </c>
      <c r="E335">
        <v>1</v>
      </c>
      <c r="F335">
        <v>1</v>
      </c>
      <c r="G335" t="s">
        <v>1093</v>
      </c>
    </row>
    <row r="336" spans="1:7" x14ac:dyDescent="0.3">
      <c r="A336" t="s">
        <v>87</v>
      </c>
      <c r="B336" t="s">
        <v>88</v>
      </c>
      <c r="C336" t="s">
        <v>57</v>
      </c>
      <c r="D336" t="s">
        <v>58</v>
      </c>
      <c r="E336">
        <v>1</v>
      </c>
      <c r="F336">
        <v>1</v>
      </c>
      <c r="G336" t="s">
        <v>1118</v>
      </c>
    </row>
    <row r="337" spans="1:7" x14ac:dyDescent="0.3">
      <c r="A337" t="s">
        <v>358</v>
      </c>
      <c r="B337" t="s">
        <v>359</v>
      </c>
      <c r="C337" t="s">
        <v>57</v>
      </c>
      <c r="D337" t="s">
        <v>58</v>
      </c>
      <c r="E337">
        <v>1</v>
      </c>
      <c r="F337">
        <v>1</v>
      </c>
      <c r="G337" t="s">
        <v>1121</v>
      </c>
    </row>
    <row r="338" spans="1:7" x14ac:dyDescent="0.3">
      <c r="A338" t="s">
        <v>361</v>
      </c>
      <c r="B338" t="s">
        <v>362</v>
      </c>
      <c r="C338" t="s">
        <v>40</v>
      </c>
      <c r="D338" t="s">
        <v>77</v>
      </c>
      <c r="E338">
        <v>1</v>
      </c>
      <c r="F338">
        <v>1</v>
      </c>
      <c r="G338" t="s">
        <v>1122</v>
      </c>
    </row>
    <row r="339" spans="1:7" x14ac:dyDescent="0.3">
      <c r="A339" t="s">
        <v>380</v>
      </c>
      <c r="B339" t="s">
        <v>381</v>
      </c>
      <c r="C339" t="s">
        <v>57</v>
      </c>
      <c r="D339" t="s">
        <v>58</v>
      </c>
      <c r="E339">
        <v>1</v>
      </c>
      <c r="F339">
        <v>1</v>
      </c>
      <c r="G339" t="s">
        <v>1125</v>
      </c>
    </row>
    <row r="340" spans="1:7" x14ac:dyDescent="0.3">
      <c r="A340" t="s">
        <v>383</v>
      </c>
      <c r="B340" t="s">
        <v>384</v>
      </c>
      <c r="C340" t="s">
        <v>57</v>
      </c>
      <c r="D340" t="s">
        <v>58</v>
      </c>
      <c r="E340">
        <v>1</v>
      </c>
      <c r="F340">
        <v>1</v>
      </c>
      <c r="G340" t="s">
        <v>1128</v>
      </c>
    </row>
    <row r="341" spans="1:7" x14ac:dyDescent="0.3">
      <c r="A341" t="s">
        <v>525</v>
      </c>
      <c r="B341" t="s">
        <v>526</v>
      </c>
      <c r="C341" t="s">
        <v>57</v>
      </c>
      <c r="D341" t="s">
        <v>58</v>
      </c>
      <c r="E341">
        <v>1</v>
      </c>
      <c r="F341">
        <v>1</v>
      </c>
      <c r="G341" t="s">
        <v>1131</v>
      </c>
    </row>
    <row r="342" spans="1:7" x14ac:dyDescent="0.3">
      <c r="A342" t="s">
        <v>695</v>
      </c>
      <c r="B342" t="s">
        <v>696</v>
      </c>
      <c r="C342" t="s">
        <v>110</v>
      </c>
      <c r="D342" t="s">
        <v>368</v>
      </c>
      <c r="E342">
        <v>1</v>
      </c>
      <c r="F342">
        <v>1</v>
      </c>
      <c r="G342" t="s">
        <v>1134</v>
      </c>
    </row>
    <row r="343" spans="1:7" x14ac:dyDescent="0.3">
      <c r="A343" t="s">
        <v>799</v>
      </c>
      <c r="B343" t="s">
        <v>800</v>
      </c>
      <c r="C343" t="s">
        <v>40</v>
      </c>
      <c r="D343" t="s">
        <v>77</v>
      </c>
      <c r="E343">
        <v>1</v>
      </c>
      <c r="F343">
        <v>1</v>
      </c>
      <c r="G343" t="s">
        <v>1137</v>
      </c>
    </row>
    <row r="344" spans="1:7" x14ac:dyDescent="0.3">
      <c r="A344" t="s">
        <v>981</v>
      </c>
      <c r="B344" t="s">
        <v>982</v>
      </c>
      <c r="C344" t="s">
        <v>57</v>
      </c>
      <c r="D344" t="s">
        <v>58</v>
      </c>
      <c r="E344">
        <v>1</v>
      </c>
      <c r="F344">
        <v>1</v>
      </c>
      <c r="G344" t="s">
        <v>1138</v>
      </c>
    </row>
    <row r="345" spans="1:7" x14ac:dyDescent="0.3">
      <c r="A345" t="s">
        <v>1100</v>
      </c>
      <c r="B345" t="s">
        <v>1101</v>
      </c>
      <c r="C345" t="s">
        <v>57</v>
      </c>
      <c r="D345" t="s">
        <v>58</v>
      </c>
      <c r="E345">
        <v>1</v>
      </c>
      <c r="F345">
        <v>1</v>
      </c>
      <c r="G345" t="s">
        <v>1139</v>
      </c>
    </row>
  </sheetData>
  <autoFilter ref="A2:F345" xr:uid="{00000000-0001-0000-0000-000000000000}">
    <sortState xmlns:xlrd2="http://schemas.microsoft.com/office/spreadsheetml/2017/richdata2" ref="A3:F358">
      <sortCondition ref="F2"/>
    </sortState>
  </autoFilter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74B6-F880-4C74-8DC1-36554A289973}">
  <dimension ref="A1:I25"/>
  <sheetViews>
    <sheetView workbookViewId="0">
      <selection sqref="A1:I25"/>
    </sheetView>
  </sheetViews>
  <sheetFormatPr baseColWidth="10" defaultRowHeight="14.4" x14ac:dyDescent="0.3"/>
  <cols>
    <col min="2" max="2" width="18.88671875" customWidth="1"/>
    <col min="3" max="3" width="20.33203125" customWidth="1"/>
  </cols>
  <sheetData>
    <row r="1" spans="1:9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>
        <v>4495</v>
      </c>
      <c r="H1">
        <v>9975</v>
      </c>
      <c r="I1" s="2" t="s">
        <v>1140</v>
      </c>
    </row>
    <row r="2" spans="1:9" x14ac:dyDescent="0.3">
      <c r="A2" s="3" t="s">
        <v>8</v>
      </c>
      <c r="B2" s="3" t="s">
        <v>9</v>
      </c>
      <c r="C2" s="3" t="s">
        <v>10</v>
      </c>
      <c r="D2" s="3" t="s">
        <v>11</v>
      </c>
      <c r="E2" s="3">
        <v>0</v>
      </c>
      <c r="F2" s="3">
        <v>0</v>
      </c>
      <c r="G2">
        <f>20/4495</f>
        <v>4.4493882091212458E-3</v>
      </c>
      <c r="H2">
        <f>41/9975</f>
        <v>4.110275689223058E-3</v>
      </c>
      <c r="I2">
        <f>G2/H2</f>
        <v>1.0825035947801078</v>
      </c>
    </row>
    <row r="3" spans="1:9" x14ac:dyDescent="0.3">
      <c r="A3" s="3" t="s">
        <v>18</v>
      </c>
      <c r="B3" s="3" t="s">
        <v>19</v>
      </c>
      <c r="C3" s="3" t="s">
        <v>20</v>
      </c>
      <c r="D3" s="3" t="s">
        <v>21</v>
      </c>
      <c r="E3" s="3">
        <v>0</v>
      </c>
      <c r="F3" s="3">
        <v>0</v>
      </c>
      <c r="G3">
        <f>9/4495</f>
        <v>2.0022246941045607E-3</v>
      </c>
      <c r="H3">
        <f>25/9975</f>
        <v>2.5062656641604009E-3</v>
      </c>
      <c r="I3">
        <f t="shared" ref="I3:I25" si="0">G3/H3</f>
        <v>0.7988876529477198</v>
      </c>
    </row>
    <row r="4" spans="1:9" x14ac:dyDescent="0.3">
      <c r="A4" s="3" t="s">
        <v>51</v>
      </c>
      <c r="B4" s="3" t="s">
        <v>52</v>
      </c>
      <c r="C4" s="3" t="s">
        <v>15</v>
      </c>
      <c r="D4" s="3" t="s">
        <v>53</v>
      </c>
      <c r="E4" s="3">
        <v>0</v>
      </c>
      <c r="F4" s="3">
        <v>0</v>
      </c>
      <c r="G4">
        <f>18/4495</f>
        <v>4.0044493882091213E-3</v>
      </c>
      <c r="H4">
        <f>38/9975</f>
        <v>3.8095238095238095E-3</v>
      </c>
      <c r="I4">
        <f t="shared" si="0"/>
        <v>1.0511679644048944</v>
      </c>
    </row>
    <row r="5" spans="1:9" x14ac:dyDescent="0.3">
      <c r="A5" t="s">
        <v>70</v>
      </c>
      <c r="B5" s="3" t="s">
        <v>71</v>
      </c>
      <c r="C5" t="s">
        <v>72</v>
      </c>
      <c r="D5" t="s">
        <v>73</v>
      </c>
      <c r="E5">
        <v>0</v>
      </c>
      <c r="F5">
        <v>0</v>
      </c>
      <c r="G5">
        <f>41/4495</f>
        <v>9.1212458286985543E-3</v>
      </c>
      <c r="H5">
        <f>89/9975</f>
        <v>8.9223057644110277E-3</v>
      </c>
      <c r="I5">
        <f t="shared" si="0"/>
        <v>1.0222969341715515</v>
      </c>
    </row>
    <row r="6" spans="1:9" x14ac:dyDescent="0.3">
      <c r="A6" t="s">
        <v>82</v>
      </c>
      <c r="B6" s="3" t="s">
        <v>83</v>
      </c>
      <c r="C6" t="s">
        <v>84</v>
      </c>
      <c r="D6" t="s">
        <v>85</v>
      </c>
      <c r="E6">
        <v>0</v>
      </c>
      <c r="F6">
        <v>0</v>
      </c>
      <c r="G6">
        <f>27/4495</f>
        <v>6.006674082313682E-3</v>
      </c>
      <c r="H6">
        <f>63/9975</f>
        <v>6.3157894736842104E-3</v>
      </c>
      <c r="I6">
        <f t="shared" si="0"/>
        <v>0.95105672969966637</v>
      </c>
    </row>
    <row r="7" spans="1:9" x14ac:dyDescent="0.3">
      <c r="A7" t="s">
        <v>90</v>
      </c>
      <c r="B7" s="3" t="s">
        <v>91</v>
      </c>
      <c r="C7" t="s">
        <v>92</v>
      </c>
      <c r="D7" t="s">
        <v>93</v>
      </c>
      <c r="E7">
        <v>0</v>
      </c>
      <c r="F7">
        <v>0</v>
      </c>
      <c r="G7">
        <f>27/4495</f>
        <v>6.006674082313682E-3</v>
      </c>
      <c r="H7">
        <f>39/9975</f>
        <v>3.909774436090226E-3</v>
      </c>
      <c r="I7">
        <f t="shared" si="0"/>
        <v>1.5363224095148453</v>
      </c>
    </row>
    <row r="8" spans="1:9" x14ac:dyDescent="0.3">
      <c r="A8" t="s">
        <v>95</v>
      </c>
      <c r="B8" s="3" t="s">
        <v>96</v>
      </c>
      <c r="C8" t="s">
        <v>97</v>
      </c>
      <c r="D8" t="s">
        <v>11</v>
      </c>
      <c r="E8">
        <v>0</v>
      </c>
      <c r="F8">
        <v>0</v>
      </c>
      <c r="G8">
        <f>19/4495</f>
        <v>4.2269187986651831E-3</v>
      </c>
      <c r="H8">
        <f>41/9975</f>
        <v>4.110275689223058E-3</v>
      </c>
      <c r="I8">
        <f t="shared" si="0"/>
        <v>1.0283784150411024</v>
      </c>
    </row>
    <row r="9" spans="1:9" x14ac:dyDescent="0.3">
      <c r="A9" t="s">
        <v>112</v>
      </c>
      <c r="B9" t="s">
        <v>113</v>
      </c>
      <c r="C9" t="s">
        <v>92</v>
      </c>
      <c r="D9" t="s">
        <v>114</v>
      </c>
      <c r="E9">
        <v>0</v>
      </c>
      <c r="F9">
        <v>0</v>
      </c>
      <c r="G9">
        <f>14/4495</f>
        <v>3.1145717463848719E-3</v>
      </c>
      <c r="H9">
        <f>49/9975</f>
        <v>4.9122807017543861E-3</v>
      </c>
      <c r="I9">
        <f t="shared" si="0"/>
        <v>0.63403781979977747</v>
      </c>
    </row>
    <row r="10" spans="1:9" x14ac:dyDescent="0.3">
      <c r="A10" t="s">
        <v>116</v>
      </c>
      <c r="B10" t="s">
        <v>117</v>
      </c>
      <c r="C10" t="s">
        <v>118</v>
      </c>
      <c r="D10" t="s">
        <v>119</v>
      </c>
      <c r="E10">
        <v>0</v>
      </c>
      <c r="F10">
        <v>0</v>
      </c>
      <c r="G10">
        <f>22/4495</f>
        <v>4.8943270300333703E-3</v>
      </c>
      <c r="H10">
        <f>55/9975</f>
        <v>5.5137844611528822E-3</v>
      </c>
      <c r="I10">
        <f t="shared" si="0"/>
        <v>0.8876529477196885</v>
      </c>
    </row>
    <row r="11" spans="1:9" x14ac:dyDescent="0.3">
      <c r="A11" t="s">
        <v>130</v>
      </c>
      <c r="B11" t="s">
        <v>131</v>
      </c>
      <c r="C11" t="s">
        <v>20</v>
      </c>
      <c r="D11" t="s">
        <v>132</v>
      </c>
      <c r="E11">
        <v>0</v>
      </c>
      <c r="F11">
        <v>0</v>
      </c>
      <c r="G11">
        <f>9/G1</f>
        <v>2.0022246941045607E-3</v>
      </c>
      <c r="H11">
        <f>29/H1</f>
        <v>2.9072681704260654E-3</v>
      </c>
      <c r="I11">
        <f t="shared" si="0"/>
        <v>0.68869625254113764</v>
      </c>
    </row>
    <row r="12" spans="1:9" x14ac:dyDescent="0.3">
      <c r="A12" t="s">
        <v>138</v>
      </c>
      <c r="B12" s="3" t="s">
        <v>139</v>
      </c>
      <c r="C12" t="s">
        <v>140</v>
      </c>
      <c r="D12" t="s">
        <v>141</v>
      </c>
      <c r="E12">
        <v>0</v>
      </c>
      <c r="F12">
        <v>0</v>
      </c>
      <c r="G12">
        <f>15/G1</f>
        <v>3.3370411568409346E-3</v>
      </c>
      <c r="H12">
        <f>59/H1</f>
        <v>5.9147869674185463E-3</v>
      </c>
      <c r="I12">
        <f t="shared" si="0"/>
        <v>0.56418619558454786</v>
      </c>
    </row>
    <row r="13" spans="1:9" x14ac:dyDescent="0.3">
      <c r="A13" t="s">
        <v>151</v>
      </c>
      <c r="B13" s="3" t="s">
        <v>152</v>
      </c>
      <c r="C13" t="s">
        <v>10</v>
      </c>
      <c r="D13" t="s">
        <v>106</v>
      </c>
      <c r="E13">
        <v>0</v>
      </c>
      <c r="F13">
        <v>0</v>
      </c>
      <c r="G13">
        <f>20/4495</f>
        <v>4.4493882091212458E-3</v>
      </c>
      <c r="H13">
        <f>45/H1</f>
        <v>4.5112781954887221E-3</v>
      </c>
      <c r="I13">
        <f t="shared" si="0"/>
        <v>0.98628105302187608</v>
      </c>
    </row>
    <row r="14" spans="1:9" x14ac:dyDescent="0.3">
      <c r="A14" t="s">
        <v>154</v>
      </c>
      <c r="B14" s="3" t="s">
        <v>155</v>
      </c>
      <c r="C14" t="s">
        <v>92</v>
      </c>
      <c r="D14" t="s">
        <v>156</v>
      </c>
      <c r="E14">
        <v>0</v>
      </c>
      <c r="F14">
        <v>0</v>
      </c>
      <c r="G14">
        <f>14/G1</f>
        <v>3.1145717463848719E-3</v>
      </c>
      <c r="H14">
        <f>40/H1</f>
        <v>4.0100250626566416E-3</v>
      </c>
      <c r="I14">
        <f t="shared" si="0"/>
        <v>0.77669632925472742</v>
      </c>
    </row>
    <row r="15" spans="1:9" x14ac:dyDescent="0.3">
      <c r="A15" t="s">
        <v>162</v>
      </c>
      <c r="B15" t="s">
        <v>163</v>
      </c>
      <c r="C15" t="s">
        <v>123</v>
      </c>
      <c r="D15" t="s">
        <v>21</v>
      </c>
      <c r="E15">
        <v>0</v>
      </c>
      <c r="F15">
        <v>0</v>
      </c>
      <c r="G15">
        <f>8/G1</f>
        <v>1.7797552836484984E-3</v>
      </c>
      <c r="H15">
        <f>25/H1</f>
        <v>2.5062656641604009E-3</v>
      </c>
      <c r="I15">
        <f t="shared" si="0"/>
        <v>0.71012235817575087</v>
      </c>
    </row>
    <row r="16" spans="1:9" x14ac:dyDescent="0.3">
      <c r="A16" t="s">
        <v>170</v>
      </c>
      <c r="B16" t="s">
        <v>171</v>
      </c>
      <c r="C16" t="s">
        <v>105</v>
      </c>
      <c r="D16" t="s">
        <v>172</v>
      </c>
      <c r="E16">
        <v>0</v>
      </c>
      <c r="F16">
        <v>0</v>
      </c>
      <c r="G16">
        <f>25/G1</f>
        <v>5.5617352614015575E-3</v>
      </c>
      <c r="H16">
        <f>62/H1</f>
        <v>6.2155388471177948E-3</v>
      </c>
      <c r="I16">
        <f t="shared" si="0"/>
        <v>0.89481143923355699</v>
      </c>
    </row>
    <row r="17" spans="1:9" x14ac:dyDescent="0.3">
      <c r="A17" t="s">
        <v>209</v>
      </c>
      <c r="B17" s="3" t="s">
        <v>210</v>
      </c>
      <c r="C17" t="s">
        <v>15</v>
      </c>
      <c r="D17" t="s">
        <v>211</v>
      </c>
      <c r="E17">
        <v>0</v>
      </c>
      <c r="F17">
        <v>0</v>
      </c>
      <c r="G17">
        <f>18/G1</f>
        <v>4.0044493882091213E-3</v>
      </c>
      <c r="H17">
        <f>42/H1</f>
        <v>4.2105263157894736E-3</v>
      </c>
      <c r="I17">
        <f t="shared" si="0"/>
        <v>0.95105672969966637</v>
      </c>
    </row>
    <row r="18" spans="1:9" x14ac:dyDescent="0.3">
      <c r="A18" t="s">
        <v>833</v>
      </c>
      <c r="B18" s="3" t="s">
        <v>834</v>
      </c>
      <c r="C18" t="s">
        <v>835</v>
      </c>
      <c r="D18" t="s">
        <v>73</v>
      </c>
      <c r="E18">
        <v>0</v>
      </c>
      <c r="F18">
        <v>0</v>
      </c>
      <c r="G18">
        <f>37/G1</f>
        <v>8.2313681868743053E-3</v>
      </c>
      <c r="H18">
        <f>89/H1</f>
        <v>8.9223057644110277E-3</v>
      </c>
      <c r="I18">
        <f t="shared" si="0"/>
        <v>0.9225606479109123</v>
      </c>
    </row>
    <row r="19" spans="1:9" x14ac:dyDescent="0.3">
      <c r="A19" t="s">
        <v>692</v>
      </c>
      <c r="B19" s="3" t="s">
        <v>693</v>
      </c>
      <c r="C19" t="s">
        <v>40</v>
      </c>
      <c r="D19" t="s">
        <v>414</v>
      </c>
      <c r="E19">
        <v>4.4999999999999999E-4</v>
      </c>
      <c r="F19">
        <v>4.4999999999999999E-4</v>
      </c>
      <c r="G19">
        <f>3/G1</f>
        <v>6.6740823136818685E-4</v>
      </c>
      <c r="H19">
        <f>10/H1</f>
        <v>1.0025062656641604E-3</v>
      </c>
      <c r="I19">
        <f t="shared" si="0"/>
        <v>0.66573971078976635</v>
      </c>
    </row>
    <row r="20" spans="1:9" x14ac:dyDescent="0.3">
      <c r="A20" s="3" t="s">
        <v>23</v>
      </c>
      <c r="B20" s="3" t="s">
        <v>24</v>
      </c>
      <c r="C20" s="3" t="s">
        <v>25</v>
      </c>
      <c r="D20" s="3" t="s">
        <v>26</v>
      </c>
      <c r="E20" s="3">
        <v>7.1000000000000002E-4</v>
      </c>
      <c r="F20" s="3">
        <v>7.1000000000000002E-4</v>
      </c>
      <c r="G20">
        <f>11/G1</f>
        <v>2.4471635150166851E-3</v>
      </c>
      <c r="H20">
        <f>22/H1</f>
        <v>2.2055137844611528E-3</v>
      </c>
      <c r="I20">
        <f t="shared" si="0"/>
        <v>1.1095661846496108</v>
      </c>
    </row>
    <row r="21" spans="1:9" x14ac:dyDescent="0.3">
      <c r="A21" t="s">
        <v>865</v>
      </c>
      <c r="B21" t="s">
        <v>866</v>
      </c>
      <c r="C21" t="s">
        <v>327</v>
      </c>
      <c r="D21" t="s">
        <v>31</v>
      </c>
      <c r="E21">
        <v>1.15E-3</v>
      </c>
      <c r="F21">
        <v>1.15E-3</v>
      </c>
      <c r="G21">
        <f>12/G1</f>
        <v>2.6696329254727474E-3</v>
      </c>
      <c r="H21">
        <f>22/H1</f>
        <v>2.2055137844611528E-3</v>
      </c>
      <c r="I21">
        <f t="shared" si="0"/>
        <v>1.2104358377995752</v>
      </c>
    </row>
    <row r="22" spans="1:9" x14ac:dyDescent="0.3">
      <c r="A22" t="s">
        <v>641</v>
      </c>
      <c r="B22" t="s">
        <v>642</v>
      </c>
      <c r="C22" t="s">
        <v>643</v>
      </c>
      <c r="D22" t="s">
        <v>644</v>
      </c>
      <c r="E22">
        <v>0</v>
      </c>
      <c r="F22">
        <v>0</v>
      </c>
      <c r="G22">
        <f>35/G1</f>
        <v>7.7864293659621799E-3</v>
      </c>
      <c r="H22">
        <f>70/H1</f>
        <v>7.0175438596491229E-3</v>
      </c>
      <c r="I22">
        <f t="shared" si="0"/>
        <v>1.1095661846496105</v>
      </c>
    </row>
    <row r="23" spans="1:9" x14ac:dyDescent="0.3">
      <c r="A23" t="s">
        <v>646</v>
      </c>
      <c r="B23" t="s">
        <v>647</v>
      </c>
      <c r="C23" t="s">
        <v>189</v>
      </c>
      <c r="D23" t="s">
        <v>219</v>
      </c>
      <c r="E23">
        <v>0</v>
      </c>
      <c r="F23">
        <v>0</v>
      </c>
      <c r="G23">
        <f>13/G1</f>
        <v>2.8921023359288096E-3</v>
      </c>
      <c r="H23">
        <f>33/H1</f>
        <v>3.3082706766917294E-3</v>
      </c>
      <c r="I23">
        <f t="shared" si="0"/>
        <v>0.87420366063302657</v>
      </c>
    </row>
    <row r="24" spans="1:9" x14ac:dyDescent="0.3">
      <c r="A24" t="s">
        <v>495</v>
      </c>
      <c r="B24" t="s">
        <v>496</v>
      </c>
      <c r="C24" t="s">
        <v>215</v>
      </c>
      <c r="D24" t="s">
        <v>497</v>
      </c>
      <c r="E24">
        <v>0</v>
      </c>
      <c r="F24">
        <v>0</v>
      </c>
      <c r="G24">
        <f>16/G1</f>
        <v>3.5595105672969968E-3</v>
      </c>
      <c r="H24">
        <f>48/H1</f>
        <v>4.8120300751879697E-3</v>
      </c>
      <c r="I24">
        <f t="shared" si="0"/>
        <v>0.73971078976640714</v>
      </c>
    </row>
    <row r="25" spans="1:9" x14ac:dyDescent="0.3">
      <c r="A25" t="s">
        <v>499</v>
      </c>
      <c r="B25" t="s">
        <v>500</v>
      </c>
      <c r="C25" t="s">
        <v>35</v>
      </c>
      <c r="D25" t="s">
        <v>323</v>
      </c>
      <c r="E25">
        <v>0</v>
      </c>
      <c r="F25">
        <v>0</v>
      </c>
      <c r="G25">
        <f>7/G1</f>
        <v>1.5572858731924359E-3</v>
      </c>
      <c r="H25">
        <f>24/H1</f>
        <v>2.4060150375939848E-3</v>
      </c>
      <c r="I25">
        <f t="shared" si="0"/>
        <v>0.64724694104560621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2024-04-09T16:25:49Z</dcterms:created>
  <dcterms:modified xsi:type="dcterms:W3CDTF">2024-11-22T10:35:36Z</dcterms:modified>
</cp:coreProperties>
</file>